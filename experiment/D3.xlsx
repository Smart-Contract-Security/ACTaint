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495" activeTab="1"/>
  </bookViews>
  <sheets>
    <sheet name="ACFix Dataset" sheetId="1" r:id="rId1"/>
    <sheet name="summary" sheetId="2" r:id="rId2"/>
  </sheets>
  <definedNames>
    <definedName name="_xlnm._FilterDatabase" localSheetId="0" hidden="1">'ACFix Dataset'!$A$2:$N$102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<sst xmlns="http://schemas.openxmlformats.org/spreadsheetml/2006/main" count="821" uniqueCount="547">
  <si>
    <t>ACTaint</t>
  </si>
  <si>
    <t>GPTLens</t>
  </si>
  <si>
    <t>contract</t>
  </si>
  <si>
    <t>contract name</t>
  </si>
  <si>
    <t>function</t>
  </si>
  <si>
    <t>description</t>
  </si>
  <si>
    <t>link</t>
  </si>
  <si>
    <t>compliable</t>
  </si>
  <si>
    <t>Cause of compilation failure</t>
  </si>
  <si>
    <t>Path</t>
  </si>
  <si>
    <t>ACTaint slither library</t>
  </si>
  <si>
    <t>TP</t>
  </si>
  <si>
    <t>FP</t>
  </si>
  <si>
    <t>FN</t>
  </si>
  <si>
    <t>logs</t>
  </si>
  <si>
    <t>code4rena/Dao.sol</t>
  </si>
  <si>
    <t>Dao</t>
  </si>
  <si>
    <t>claimAllForMember</t>
  </si>
  <si>
    <t>The claimAllForMember function of Dao is permissionless, allowing anyone to claim the unlocked bonded LP tokens for any member. However, claiming a member's LP tokens could decrease the member's weight in the BondVault, thus affecting the member's votes and rewards in the Dao contract. For example, an attacker can intentionally front-run a victim's voteProposal call to decrease the victim's vote weight to prevent the proposal from being finalized:
Supposing the victim's member weight in the BondVault is 201, the total weight is 300. The victim has some LP tokens claimable from the vault, and if claimed, the victim's weight will be decreased to 101. To simplify the situation, assuming that the victim's weight in the DaoVault and the total weight of the DaoVault are both 0.
The victim wants to vote on the current proposal, which requires the majority consensus. If the victim calls voteProposal, the proposal will be finalized since the victim has the majority weight (201/300 &gt; 66.6%).
An attacker does not want the proposal to be finalized, so he calls claimAllForMember with the victim as the parameter to intentionally decrease the victim's weight.
As a result, the victim's weight is decreased to 101, and the total weight is decreased to 200. The victim cannot finalize the proposal since he has no majority anymore (101/200 &lt; 66.6%).
Similarly, an attacker can front-run a victim's harvest call to intentionally decrease the victim's reward since the amount of reward is calculated based on the victim's current weight.
Consider removing the member parameter in the claimAllForMember function and replace all member to msg.sender to allow only the user himself to claim unlocked bonded LP tokens.</t>
  </si>
  <si>
    <t>https://github.com/code-423n4/2021-07-spartan-findings/issues/235</t>
  </si>
  <si>
    <t>Yes</t>
  </si>
  <si>
    <t>selfbuild/2021-07-spartan/Dao.sol</t>
  </si>
  <si>
    <t>code4rena/FlashGovernanceArbiter.sol</t>
  </si>
  <si>
    <t>FlashGovernanceArbiter</t>
  </si>
  <si>
    <t>assertGovernanceApproved</t>
  </si>
  <si>
    <t>Lack of access control on the assertGovernanceApproved function of FlashGovernanceArbiter allows anyone to lock other users' funds in the contract as long as the users have approved the contract to transfer flashGovernanceConfig.amount of flashGovernanceConfig.asset from them.
Recommended Mitigation Steps
Only allow certain addresses to call the assertGovernanceApproved function on FlashGovernanceArbiter.</t>
  </si>
  <si>
    <t>https://github.com/code-423n4/2022-01-behodler-findings/issues/300</t>
  </si>
  <si>
    <t>selfbuild/2022-01-behodler/DAO/FlashGovernanceArbiter.sol</t>
  </si>
  <si>
    <t>slither_library = ["@openzeppelin/=datasets/@openzeppelin/"]</t>
  </si>
  <si>
    <t>FN(assertGovernanceApproved,Reentrancy,6.75)</t>
  </si>
  <si>
    <t>code4rena/LenderPool.sol</t>
  </si>
  <si>
    <t>withdrawInterest</t>
  </si>
  <si>
    <t>withdrawInterest() at a certain time may not be in the best interest of the specific lender. It's unconventional and can potentially cause leak of value for the lender. For example, the lender may still want to accrued more interest from the strategy.</t>
  </si>
  <si>
    <t>https://github.com/code-423n4/2022-03-sublime-findings/issues/59</t>
  </si>
  <si>
    <t>No</t>
  </si>
  <si>
    <t>fix</t>
  </si>
  <si>
    <t>FN(withdrawInterest,Potential reentrancy attack,1.5)</t>
  </si>
  <si>
    <t>code4rena/MapleLoan.sol</t>
  </si>
  <si>
    <t>MapleLoan</t>
  </si>
  <si>
    <t>makePayment</t>
  </si>
  <si>
    <t>The current implementation allows anyone to call makePayment() and repay the loan with _drawableFunds.
This makes it possible for a malicious lender to call makePayment() multiple times right after fundLoan() and retrieve most of the funds back immediately, while then borrower must continue to make payments or lose the collateral.</t>
  </si>
  <si>
    <t>https://github.com/code-423n4/2021-12-maple-findings/issues/56</t>
  </si>
  <si>
    <t>proxy-factory</t>
  </si>
  <si>
    <t>code4rena/MStableYieldSource.sol</t>
  </si>
  <si>
    <t>MStableYieldSource</t>
  </si>
  <si>
    <t>approveMax</t>
  </si>
  <si>
    <t>Overly permissive access control to lets anyone approve max amount. This may be ok but is inconsistent with SwappableYieldSource.sol where the similar function is onlyOwner.</t>
  </si>
  <si>
    <t>https://github.com/code-423n4/2021-07-pooltogether-findings/issues/46</t>
  </si>
  <si>
    <t>openzeppelin</t>
  </si>
  <si>
    <t>TP(approveMax,Excessive approval,6.25)</t>
  </si>
  <si>
    <t>code4rena/VaderPoolV2.sol</t>
  </si>
  <si>
    <t>VaderPoolV2</t>
  </si>
  <si>
    <t>mintFungible</t>
  </si>
  <si>
    <t>Funds are transferred from the from parameter, and the output tokens are transferred to the to parameter, both passed by the caller without proper access control. This issue allows anyone to call mintFungible() and mintSynth() and steal almost all their wallet balances for all the users who have approved the contract before.</t>
  </si>
  <si>
    <t>https://github.com/code-423n4/2021-11-vader-findings/issues/204</t>
  </si>
  <si>
    <t>FN
Potential initializer</t>
  </si>
  <si>
    <t>defi_hack_ac/BancorNetwork.sol</t>
  </si>
  <si>
    <t>TokenHandler</t>
  </si>
  <si>
    <t>safeTransferFrom</t>
  </si>
  <si>
    <t>https://wooded-meter-1d8.notion.site/0e85e02c5ed34df3855ea9f3ca40f53b?v=22e5e2c506ef4caeb40b4f78e23517ee&amp;p=70657eb574224c5e9ed76038e6c8b5a5&amp;pm=s</t>
  </si>
  <si>
    <t>FN
FP(handleSourceToken,Improper Access Control,6.25)</t>
  </si>
  <si>
    <t>defi_hack_ac/defi_hack_1.sol</t>
  </si>
  <si>
    <t>setToken</t>
  </si>
  <si>
    <t>Due to _addre is controllable. Attacker can call setToken() to set fake token created by self. 1.setToken to faketoken 2.Deposit faketoken 3.setToken to HPAY 3.withdraw.  over</t>
  </si>
  <si>
    <t>https://wooded-meter-1d8.notion.site/0e85e02c5ed34df3855ea9f3ca40f53b?v=22e5e2c506ef4caeb40b4f78e23517ee&amp;p=d4489312830a40819dbfc3ec1fb4246c&amp;pm=s</t>
  </si>
  <si>
    <t>selfbuild/MintableAutoCompundRelockBonus/contracts/presets/MintableAutoCompundRelockBonus.sol</t>
  </si>
  <si>
    <t>slither_library = ["@openzeppelin/=datasets/clean_datasets/ACFix/selfbuild/MintableAutoCompundRelockBonus/@openzeppelin/"]</t>
  </si>
  <si>
    <t>We additionally have initialize</t>
  </si>
  <si>
    <t>TP(Arbitrary Token Injection,7.0)</t>
  </si>
  <si>
    <t>defi_hack_ac/defi_hack_11.sol</t>
  </si>
  <si>
    <t>emergencyExit</t>
  </si>
  <si>
    <t>Need to decompile:</t>
  </si>
  <si>
    <t>https://wooded-meter-1d8.notion.site/0e85e02c5ed34df3855ea9f3ca40f53b?v=22e5e2c506ef4caeb40b4f78e23517ee&amp;p=f8caada455094e60a894f773bae35090&amp;pm=s</t>
  </si>
  <si>
    <t>decomplie</t>
  </si>
  <si>
    <t>TP(emergencyExit,Arbitrary Jump with Function Pointers,6.0)</t>
  </si>
  <si>
    <t>defi_hack_ac/defi_hack_4.sol</t>
  </si>
  <si>
    <t>pancakeCall</t>
  </si>
  <si>
    <t>1) Decompile contract https://bscscan.com/address/0x64dd59d6c7f09dc05b472ce5cb961b6e10106e1d We can see a public function called pancakeCall, which means anyone can call this function.2)Check pancakeCall code logic Once pass all required check then perform 0x10a(v0, varg2, varg1); 3) Track into 0x10a(), we can see transfer funds to addree "MEM[varg0.data+32]". Since variable "[http://varg0.data](https://t.co/KT6EufOI6Z)" attacker can control over calldata in pancakeCall. So that's why an attacker can drain out the funds from the MEV contract.</t>
  </si>
  <si>
    <t>https://wooded-meter-1d8.notion.site/0e85e02c5ed34df3855ea9f3ca40f53b?v=22e5e2c506ef4caeb40b4f78e23517ee&amp;p=7454c604ef544cf1bf933b7da7979c51&amp;pm=s</t>
  </si>
  <si>
    <t>FN,No ac reason</t>
  </si>
  <si>
    <t>defi_hack_ac/defi_hack_5.sol</t>
  </si>
  <si>
    <t>burn</t>
  </si>
  <si>
    <t>Due to the public access of burn() method, an attacker burned 10.3M SDF in the pair and then sync'd the price. Then they swap 8.4 SDF for 1078 BNB (~$298.2K) and transfer to tornato</t>
  </si>
  <si>
    <t>https://wooded-meter-1d8.notion.site/0e85e02c5ed34df3855ea9f3ca40f53b?v=22e5e2c506ef4caeb40b4f78e23517ee&amp;p=35b99513c187402a9aaa74e0baa317a2&amp;pm=s</t>
  </si>
  <si>
    <t>TP(burn,Missing access control,6.25)</t>
  </si>
  <si>
    <t>defi_hack_ac/DVM.sol</t>
  </si>
  <si>
    <t>DVM</t>
  </si>
  <si>
    <t>init</t>
  </si>
  <si>
    <t>The init() function in the pool creation contract could be called multiple times, leading to repeated initializations. The attackers took advantage of this and borrowed out the tokens in the liquidity pools using flash loans. The pool contract was then initialized again and counterfeit tokens created by the attackers were returned in lieu of the original tokens, bypassing the flash loan return check logic</t>
  </si>
  <si>
    <t>https://wooded-meter-1d8.notion.site/0e85e02c5ed34df3855ea9f3ca40f53b?v=22e5e2c506ef4caeb40b4f78e23517ee&amp;p=fb6683bd7bdf4205a753677c17148e86&amp;pm=s</t>
  </si>
  <si>
    <t>FN
FP(claimOwnership,Ownership Hijacking,5.25)</t>
  </si>
  <si>
    <t>defi_hack_ac/GymSinglePool.sol</t>
  </si>
  <si>
    <t>GymSinglePool</t>
  </si>
  <si>
    <t>depositFromOtherContract</t>
  </si>
  <si>
    <t>https://wooded-meter-1d8.notion.site/0e85e02c5ed34df3855ea9f3ca40f53b?v=22e5e2c506ef4caeb40b4f78e23517ee&amp;p=579d6806099e4304aa761ade1d1c7eac&amp;pm=s</t>
  </si>
  <si>
    <t>selfbuild/GymSinglePool/contracts/GymSinglePool.sol</t>
  </si>
  <si>
    <t>slither_library = ["@openzeppelin/=datasets/clean_datasets/ACFix/selfbuild/GymSinglePool/@openzeppelin/", "@quant-finance/=datasets/clean_datasets/ACFix/selfbuild/GymSinglePool/@quant-finance/"]</t>
  </si>
  <si>
    <t>defi_hack_ac/Land.sol</t>
  </si>
  <si>
    <t>ERC721BaseToken</t>
  </si>
  <si>
    <t>_burn</t>
  </si>
  <si>
    <t>https://wooded-meter-1d8.notion.site/0e85e02c5ed34df3855ea9f3ca40f53b?v=22e5e2c506ef4caeb40b4f78e23517ee&amp;p=e8c3b351a29e45e78393314f0b84a104&amp;pm=s</t>
  </si>
  <si>
    <t>selfbuild/Land/src/Land.sol</t>
  </si>
  <si>
    <t>defi_hack_ac/NFT.sol</t>
  </si>
  <si>
    <t>NFT</t>
  </si>
  <si>
    <t>Contract init function without modifier check and there was also no initializer modifier to prevent a re-initialization. Anyone could have taken ownership of the NFT contract.</t>
  </si>
  <si>
    <t>https://wooded-meter-1d8.notion.site/0e85e02c5ed34df3855ea9f3ca40f53b?v=22e5e2c506ef4caeb40b4f78e23517ee&amp;p=83b39ee94ab54356a4d37463a856266a&amp;pm=s</t>
  </si>
  <si>
    <t>selfbuild/NFT/contracts/NFT.sol</t>
  </si>
  <si>
    <t>slither_library = ["@openzeppelin/=datasets/clean_datasets/ACFix/selfbuild/NFT/@openzeppelin/"]</t>
  </si>
  <si>
    <t>TP(Initialization Privilege,7.25)</t>
  </si>
  <si>
    <t>defi_hack_ac/ReaperVaultV2.sol</t>
  </si>
  <si>
    <t>ReaperVaultV2</t>
  </si>
  <si>
    <t>_withdraw</t>
  </si>
  <si>
    <t>Root cause: without proper access control, allowing anyone to withdraw anyone else’s funds.</t>
  </si>
  <si>
    <t>https://wooded-meter-1d8.notion.site/0e85e02c5ed34df3855ea9f3ca40f53b?v=22e5e2c506ef4caeb40b4f78e23517ee&amp;p=e32c7033b86d42749cc6ad80f27daeaa&amp;pm=s</t>
  </si>
  <si>
    <t>fantom no source</t>
  </si>
  <si>
    <t>FN
FP(setEmergencyShutdown,Authorization bypass,4.0)</t>
  </si>
  <si>
    <t>defi_hack_ac/SimplePriceOracle.sol</t>
  </si>
  <si>
    <t>SimplePriceOracle</t>
  </si>
  <si>
    <t>setOracleData</t>
  </si>
  <si>
    <t>SetOracleData() function whose visibility is public and can be called externally. Anyone can call SetOracleData to manipulate price.</t>
  </si>
  <si>
    <t>https://wooded-meter-1d8.notion.site/0e85e02c5ed34df3855ea9f3ca40f53b?v=22e5e2c506ef4caeb40b4f78e23517ee&amp;p=0cb7e75b227c42d6b5a36e73a5affc79&amp;pm=s</t>
  </si>
  <si>
    <t>SimplePriceOracle/contracts/SimplePriceOracle.sol</t>
  </si>
  <si>
    <t>TP(Unauthorized Oracle Setting,7.75)</t>
  </si>
  <si>
    <t>defi_hack_ac/SpaceGodzilla.sol</t>
  </si>
  <si>
    <t>SpaceGodzilla</t>
  </si>
  <si>
    <t>swapAndLiquifyStepv1</t>
  </si>
  <si>
    <t>https://wooded-meter-1d8.notion.site/0e85e02c5ed34df3855ea9f3ca40f53b?v=22e5e2c506ef4caeb40b4f78e23517ee&amp;p=1c6f8927668d481daa6b25fb1bc1317d&amp;pm=s</t>
  </si>
  <si>
    <t>FN
FP:2
swapTokensForOther,Unrestricted Access,7.25
swapAndLiquify,Unrestricted Access,5.5</t>
  </si>
  <si>
    <t>defi_hack_ac/StaxLPStaking.sol</t>
  </si>
  <si>
    <t>StaxLPStaking</t>
  </si>
  <si>
    <t>migrateStake</t>
  </si>
  <si>
    <t>Root cause: insufficient access control to the migrateStake function.</t>
  </si>
  <si>
    <t>https://wooded-meter-1d8.notion.site/0e85e02c5ed34df3855ea9f3ca40f53b?v=22e5e2c506ef4caeb40b4f78e23517ee&amp;p=268b5c5612bd4b1dadaa5acb16bc6c06&amp;pm=s</t>
  </si>
  <si>
    <t>StaxLPStaking/contracts/StaxLPStaking.sol</t>
  </si>
  <si>
    <t>slither_library = ["@openzeppelin/=datasets/clean_datasets/ACFix/StaxLPStaking/@openzeppelin/"]</t>
  </si>
  <si>
    <t>FN
FP(migrateWithdraw,Unauthorized access,3.75)</t>
  </si>
  <si>
    <t>defi_hack_ac/Token.sol</t>
  </si>
  <si>
    <t>Token</t>
  </si>
  <si>
    <t>mint</t>
  </si>
  <si>
    <t>https://wooded-meter-1d8.notion.site/0e85e02c5ed34df3855ea9f3ca40f53b?v=22e5e2c506ef4caeb40b4f78e23517ee&amp;p=006421dce8be4f35a7e869e276d0e6c1&amp;pm=s</t>
  </si>
  <si>
    <t>TP(Unrestricted Minting,9.0)</t>
  </si>
  <si>
    <t>defi_hack_ac/WalletLibrary.sol</t>
  </si>
  <si>
    <t>WalletLibrary</t>
  </si>
  <si>
    <t>initWallet</t>
  </si>
  <si>
    <t>https://wooded-meter-1d8.notion.site/0e85e02c5ed34df3855ea9f3ca40f53b?v=22e5e2c506ef4caeb40b4f78e23517ee&amp;p=a1c5404b7dc945a48bc4896b8b6b0f93&amp;pm=s</t>
  </si>
  <si>
    <t>defi_hack_iv/ANCHToken.sol</t>
  </si>
  <si>
    <t>ANCHToken</t>
  </si>
  <si>
    <t>_transfer</t>
  </si>
  <si>
    <t>if it supports skim(), the token transfer does not check if recipient and sender are the same, any reward, factor and balance change in _transfer() function, then you are vulnerable for the attack.</t>
  </si>
  <si>
    <t>https://wooded-meter-1d8.notion.site/0e85e02c5ed34df3855ea9f3ca40f53b?v=22e5e2c506ef4caeb40b4f78e23517ee&amp;p=05e23ba475d74dc4911f67553219d482&amp;pm=s</t>
  </si>
  <si>
    <t>FN
FP(changeOwner,Ownership Takeover,5,25)</t>
  </si>
  <si>
    <t>defi_hack_iv/Bad_Guys_by_RPF.sol</t>
  </si>
  <si>
    <t>Bad_Guys_by_RPF</t>
  </si>
  <si>
    <t>WhiteListMint</t>
  </si>
  <si>
    <t>Missing check for "chosenAmount" in the WhiteListMint function which allowed the attacker to pass the number of NFTs he/she wanted to mint.</t>
  </si>
  <si>
    <t>https://wooded-meter-1d8.notion.site/0e85e02c5ed34df3855ea9f3ca40f53b?v=22e5e2c506ef4caeb40b4f78e23517ee&amp;p=1d853c09cbba4b9f8607917941ef6766&amp;pm=s</t>
  </si>
  <si>
    <t>defi_hack_iv/BondFixedExpiryTeller.sol</t>
  </si>
  <si>
    <t>BondFixedExpiryTeller</t>
  </si>
  <si>
    <t>redeem</t>
  </si>
  <si>
    <t>Due to token_ is controllable and does not validate properly on BondFixedExpiryTeller, attacker can create a custom contract to drain out the fund on BondFixedExpiryTeller.</t>
  </si>
  <si>
    <t>https://wooded-meter-1d8.notion.site/0e85e02c5ed34df3855ea9f3ca40f53b?v=22e5e2c506ef4caeb40b4f78e23517ee&amp;p=6c30f71c9c4b456b8d2746f17536393e&amp;pm=s</t>
  </si>
  <si>
    <t>selfbuild/BondFixedExpiryTeller/src/BondFixedExpiryTeller.sol</t>
  </si>
  <si>
    <t>slither_library = ["solmate/=datasets/clean_datasets/ACFix/selfbuild/BondFixedExpiryTeller/lib/solmate/src/", "clones/=datasets/clean_datasets/ACFix/selfbuild/BondFixedExpiryTeller/lib/clones-with-immutable-args/src/"]</t>
  </si>
  <si>
    <t>FN(redeem,Token transfer without validation,0.5)</t>
  </si>
  <si>
    <t>defi_hack_iv/CErc20Delegate.sol</t>
  </si>
  <si>
    <t>CErc20</t>
  </si>
  <si>
    <t>sweepToken</t>
  </si>
  <si>
    <t>if contract can make calls into arbitrary addresses, this can be abused. Attacker use legacy TUSD smart contract to trick compound.</t>
  </si>
  <si>
    <t>https://wooded-meter-1d8.notion.site/0e85e02c5ed34df3855ea9f3ca40f53b?v=22e5e2c506ef4caeb40b4f78e23517ee&amp;p=0fad042e6c1d45439eb78d0560de3cd3&amp;pm=s</t>
  </si>
  <si>
    <t>selfbuild/CErc20Delegate/contracts/CErc20Delegate.sol</t>
  </si>
  <si>
    <t>already fix</t>
  </si>
  <si>
    <t>defi_hack_iv/EFLeverVault.sol</t>
  </si>
  <si>
    <t>EFLeverVault</t>
  </si>
  <si>
    <t>receiveFlashLoan</t>
  </si>
  <si>
    <t>Attacker can directly call Flashloan with userData “0x307832” which is bytes “0x2” from balancer and set EFLeverVault as recipient to trigger  _withdraw(loan_amount, fee_amount);  to make vault retain enough ETH. Then attacker can call withdraw to drain out the ETH in L429.</t>
  </si>
  <si>
    <t>https://wooded-meter-1d8.notion.site/0e85e02c5ed34df3855ea9f3ca40f53b?v=22e5e2c506ef4caeb40b4f78e23517ee&amp;p=1a7771e9653742819e3425714ef79606&amp;pm=s</t>
  </si>
  <si>
    <t>Yes
change version to 0.5.0</t>
  </si>
  <si>
    <t>TP(External contract call inside conditional,4.25)</t>
  </si>
  <si>
    <t>defi_hack_iv/LPC.sol</t>
  </si>
  <si>
    <t>LPC</t>
  </si>
  <si>
    <t>Root cause: Incorrect recipient balance check, did not check sender!=recipient in transfer. Increase directly on the recipientAmount to recipient, deduct sender balance incorrectly.</t>
  </si>
  <si>
    <t>https://wooded-meter-1d8.notion.site/0e85e02c5ed34df3855ea9f3ca40f53b?v=22e5e2c506ef4caeb40b4f78e23517ee&amp;p=fffab6d16c9b4cd585dc1270ee924c91&amp;pm=s</t>
  </si>
  <si>
    <t>FN(_transfer,Reentrancy,1.5)</t>
  </si>
  <si>
    <t>defi_hack_iv/QBridge.sol</t>
  </si>
  <si>
    <t>QBridge</t>
  </si>
  <si>
    <t>deposit</t>
  </si>
  <si>
    <t>**safeTransferFrom() in SafeToken.sol** does not revert when the token EOA.  tokenAddress can be address(0) to pass all check to mint xETH.</t>
  </si>
  <si>
    <t>https://wooded-meter-1d8.notion.site/0e85e02c5ed34df3855ea9f3ca40f53b?v=22e5e2c506ef4caeb40b4f78e23517ee&amp;p=a56fb91f2e2b4b869463562322060479&amp;pm=s</t>
  </si>
  <si>
    <t>selfbuild/QBridge/contracts/bridge/QBridge.sol</t>
  </si>
  <si>
    <t>slither_library = ["@openzeppelin/=datasets/clean_datasets/ACFix/selfbuild/QBridge/@openzeppelin/"]</t>
  </si>
  <si>
    <t>FN(deposit,Denial of Service (DoS),6.0)</t>
  </si>
  <si>
    <t>defi_hack_iv/QBridgeHandler.sol</t>
  </si>
  <si>
    <t>QBridgeHandler</t>
  </si>
  <si>
    <t>selfbuild/QBridgeHandler/contracts/bridge/QBridgeHandler.sol</t>
  </si>
  <si>
    <t>slither_library = ["@openzeppelin/=datasets/clean_datasets/ACFix/selfbuild/QBridgeHandler/@openzeppelin/","@pancakeswap=datasets/clean_datasets/ACFix/selfbuild/QBridgeHandler/@pancakeswap/"]</t>
  </si>
  <si>
    <t>FN
FP(setDelegator,Unauthorized Delegation,4.0)</t>
  </si>
  <si>
    <t>defi_hack_iv/Quixotic.sol</t>
  </si>
  <si>
    <t>fillSellOrder</t>
  </si>
  <si>
    <t>https://wooded-meter-1d8.notion.site/0e85e02c5ed34df3855ea9f3ca40f53b?v=22e5e2c506ef4caeb40b4f78e23517ee&amp;p=67a1acabd9fc411ca0ed2bc082313ea1&amp;pm=s</t>
  </si>
  <si>
    <t>Yes
change version to 0.8.1</t>
  </si>
  <si>
    <t>selfbuild/ExchangeV4/ExchangeV4.sol</t>
  </si>
  <si>
    <t>FN(fillSellOrder,Reentrancy on ETH transfer,1.5)</t>
  </si>
  <si>
    <t>defi_hack_iv/Replica.sol</t>
  </si>
  <si>
    <t>Replica</t>
  </si>
  <si>
    <t>initialize</t>
  </si>
  <si>
    <t>Root cause: business Logic Flaw, Incorrect acceptable merkle-root checks. Nomad team initialized the trusted root to be 0x00.</t>
  </si>
  <si>
    <t>https://wooded-meter-1d8.notion.site/0e85e02c5ed34df3855ea9f3ca40f53b?v=22e5e2c506ef4caeb40b4f78e23517ee&amp;p=ad14e2665a33499e88b5ff5c2c0b3232&amp;pm=s</t>
  </si>
  <si>
    <t>selfbuild/Replica/packages/contracts-core/contracts/Replica.sol</t>
  </si>
  <si>
    <t>slither_library = ["@openzeppelin/=datasets/clean_datasets/ACFix/selfbuild/Replica/node_modules/@openzeppelin/","@summa-tx=datasets/clean_datasets/ACFix/selfbuild/Replica/node_modules/@summa-tx/"]</t>
  </si>
  <si>
    <t>defi_hack_iv/SwapMining.sol</t>
  </si>
  <si>
    <t>SwapMining</t>
  </si>
  <si>
    <t>swap</t>
  </si>
  <si>
    <t>Attacker created fake factory contract to get real reward tokens.</t>
  </si>
  <si>
    <t>https://wooded-meter-1d8.notion.site/0e85e02c5ed34df3855ea9f3ca40f53b?v=22e5e2c506ef4caeb40b4f78e23517ee&amp;p=19f0371ea6d842049ce2cd8de9a7be01&amp;pm=s</t>
  </si>
  <si>
    <t>Yes
change version to 0.6.7
add public to some constructor</t>
  </si>
  <si>
    <t>selfbuild/SwapMining/contracts/farm/SwapMining.sol</t>
  </si>
  <si>
    <t>slither_library = ["@openzeppelin/=datasets/clean_datasets/ACFix/selfbuild/SwapMining/@openzeppelin/","hardhat/=datasets/clean_datasets/ACFix/selfbuild/SwapMining/hardhat/"]</t>
  </si>
  <si>
    <t>FN(swap,Oracle Manipulation,7.0)</t>
  </si>
  <si>
    <t>defi_hack_iv/TreasureDAO.sol</t>
  </si>
  <si>
    <t>buyItem</t>
  </si>
  <si>
    <t>Since _quantity can be zero, so attacker can buy NFT for free</t>
  </si>
  <si>
    <t>https://wooded-meter-1d8.notion.site/0e85e02c5ed34df3855ea9f3ca40f53b?v=22e5e2c506ef4caeb40b4f78e23517ee&amp;p=9c37b46d577e45e08f3db4f6527f0239&amp;pm=s</t>
  </si>
  <si>
    <t>selfbuild/TreasureMarketplaceBuyer/contracts/TreasureMarketplace.sol</t>
  </si>
  <si>
    <t>slither_library = ["@openzeppelin/=datasets/clean_datasets/ACFix/selfbuild/TreasureMarketplaceBuyer/@openzeppelin/"]</t>
  </si>
  <si>
    <t>FN(buyItem,Reentrancy,0.5)</t>
  </si>
  <si>
    <t>defi_hack_iv/XNFT.sol</t>
  </si>
  <si>
    <t>XNFT</t>
  </si>
  <si>
    <t>pledgeAndBorrow</t>
  </si>
  <si>
    <t>Root cause:  call XToken contract's borrow(), there is no judgment that the NFT has been withdrawn. Parameter xToken can control, attakcer can withdraw pledged NFT.</t>
  </si>
  <si>
    <t>https://wooded-meter-1d8.notion.site/0e85e02c5ed34df3855ea9f3ca40f53b?v=22e5e2c506ef4caeb40b4f78e23517ee&amp;p=7c440144148f47a99e468c216f5e22df&amp;pm=s</t>
  </si>
  <si>
    <t>selfbuild/XNFT/contracts/XNFT.sol</t>
  </si>
  <si>
    <t>slither_library = ["@openzeppelin/=datasets/clean_datasets/ACFix/selfbuild/XNFT/@openzeppelin/"]</t>
  </si>
  <si>
    <t>We additionally have init 
,notifyRepayBorrow and tx.origin</t>
  </si>
  <si>
    <t>medium/DEItoken.sol</t>
  </si>
  <si>
    <t>burnFrom</t>
  </si>
  <si>
    <t>it appears to be a pubic burn vulnerability with loss &gt; $1.3M alone at BSC. The ARB/ETH deployments are also affected.</t>
  </si>
  <si>
    <t>No source</t>
  </si>
  <si>
    <t>TP(burnFrom,Missing Sender Validation,6.5)</t>
  </si>
  <si>
    <t>medium/Melotoken.sol</t>
  </si>
  <si>
    <t>It seems there is a public mint bug</t>
  </si>
  <si>
    <t>TP(No access control,9.0)</t>
  </si>
  <si>
    <t>medium/Ragnarok.sol</t>
  </si>
  <si>
    <t>transferOwnership</t>
  </si>
  <si>
    <t>The cause of this attack was a simple access control issue, which allowed anyone to transfer ownership of the contract. The transferOwnership function has no access controls like OnlyOwner modifier or onlyAdmin to prevent malicious users from calling the function.</t>
  </si>
  <si>
    <t>https://medium.com/quillhash/decoding-ragnarok-online-invasion-44k-exploit-quillaudits-261b7e23b55</t>
  </si>
  <si>
    <t>TP(transferOwnership,Missing ownership authentication,9.0)</t>
  </si>
  <si>
    <t>ttweb/AccountManager.sol</t>
  </si>
  <si>
    <t>AccountManager</t>
  </si>
  <si>
    <t>AccountManager.init() is missing an access control which allows anyone to call the init() function and become the owner of the contract. This also allows for potential frontrunning of the function allowing an attacker to frontrun the transaction to initialize the contract and become the owner.</t>
  </si>
  <si>
    <t>https://github.com/sherlock-audit/2022-08-sentiment-judging/blob/main//info/246-h.md</t>
  </si>
  <si>
    <t>FN
FP(openAccount,Incorrect Access Control,6.75)</t>
  </si>
  <si>
    <t>ttweb/BaseEscalationManager.sol</t>
  </si>
  <si>
    <t>BaseEscalationManager</t>
  </si>
  <si>
    <t>requestPrice</t>
  </si>
  <si>
    <t>In the BaseEscalationManager contract, the following public functions may benefit from access control. Currently anyone can call these functions, which can result in them executing state-changing logic in an unintended context. Consider implementing appropriate access control on these functions so that only the expected instance(s) of the OptimisticAsserter contract can call them.</t>
  </si>
  <si>
    <t>https://blog.openzeppelin.com/uma-optimistic-asserter-audit/</t>
  </si>
  <si>
    <t>library
protocol-UMA</t>
  </si>
  <si>
    <t>TP(requestPrice,Event spamming,5.5)</t>
  </si>
  <si>
    <t>ttweb/BaseStrategyVault.sol</t>
  </si>
  <si>
    <t>BaseStrategyVault</t>
  </si>
  <si>
    <t>__INIT_VAULT</t>
  </si>
  <si>
    <t>Contracts that inherit from BaseStrategyVault and not include access control when calling their initialize function will be vulnerable to frontrunning calls to initialize.</t>
  </si>
  <si>
    <t>https://github.com/sherlock-audit/2022-12-notional-judging/blob/main//low/056.md</t>
  </si>
  <si>
    <t>TP(__INIT_VAULT,Improper Initialization,6.75)</t>
  </si>
  <si>
    <t>ttweb/ClaimModule.sol</t>
  </si>
  <si>
    <t>ClaimModule</t>
  </si>
  <si>
    <t>removeModule</t>
  </si>
  <si>
    <t>The removeModule() in ClaimModule.sol marked as external. Everyone could call this function to execute the function and remove modules from the contract. Anyone could remove modules to cause a major disruption in the protocol's operation. Let's say Alice is able to call removeModule(), she may able to stop the protocol's services.</t>
  </si>
  <si>
    <t>https://github.com/sherlock-audit/2023-05-Index-judging/blob/main//001-H/054.md</t>
  </si>
  <si>
    <t>ttweb/CollateralManager.sol</t>
  </si>
  <si>
    <t>CollateralManager</t>
  </si>
  <si>
    <t>commitCollateral</t>
  </si>
  <si>
    <t>commitCollateral() lacks access control, as a result, anybody can commit collaterals for a borrower after the borrower submits a bid. The borrower will send more collaterals than necessary and might lose more collaterals during default.</t>
  </si>
  <si>
    <t>https://github.com/sherlock-audit/2023-03-teller-judging/blob/main//001-H/121.md</t>
  </si>
  <si>
    <t>FN(Reentrancy Vulnerability,4.0)</t>
  </si>
  <si>
    <t>withdraw</t>
  </si>
  <si>
    <t>withdraw() has no access control, so a malicious user can use it to front-run repayLoanFull(), repay(), and liquidateLoanFull().</t>
  </si>
  <si>
    <t>https://github.com/sherlock-audit/2023-03-teller-judging/blob/main//003-M/136.md</t>
  </si>
  <si>
    <t>TP(withdraw,Missing Access Control,8.75)</t>
  </si>
  <si>
    <t>setCollateralEscrowBeacon</t>
  </si>
  <si>
    <t>The setCollateralEscrowBeacon() function in CollateralManager does not have any access control checks. This allows for an attacker to set the beacon address to a malicious contract that can steal the collateral of a loan. When the CollateralManager contract is initialized, it is passed a beacon address that is used to create a new escrow contract for each collateral-backed loan. The escrow contract is used to hold the collateral. When a new loan with collateral is created, the CollateralManager contract creates a new escrow contract using the beacon address. The setCollateralEscrowBeacon() reinitializer allows the escrow implementation to be changed. However, this function does not have any access control checks, so it can be called by anyone. This allows an attacker to set the beacon address to a malicious contract that can steal the collateral of a loan.</t>
  </si>
  <si>
    <t>https://github.com/sherlock-audit/2023-03-teller-judging/blob/main//007-H/099.md</t>
  </si>
  <si>
    <t>liquidateCollateral</t>
  </si>
  <si>
    <t>The liquidateCollateral function does not restrict access to only the lender or the liquidator, potentially allowing unauthorized parties to call the function and claim collateral. In the TellerV2Context.sol contract, the liquidateCollateral function lacks proper access control, allowing any address to call the function and potentially claim collateral. This could lead to unauthorized liquidation of loans and loss of collateral.</t>
  </si>
  <si>
    <t>https://github.com/sherlock-audit/2023-03-teller-judging/blob/main//invalid/049.md</t>
  </si>
  <si>
    <t>ttweb/ContractFactory.sol</t>
  </si>
  <si>
    <t>ContractFactory</t>
  </si>
  <si>
    <t>There is no Access control in initialize() method. So anyone can frontrun the transaction and call that on deployer's behalf to gain access.</t>
  </si>
  <si>
    <t>https://github.com/sherlock-audit/2023-02-carapace-judging/blob/main//false/243.md</t>
  </si>
  <si>
    <t>ttweb/Controller.sol</t>
  </si>
  <si>
    <t>Controller</t>
  </si>
  <si>
    <t>claim</t>
  </si>
  <si>
    <t>claim() function is guarded with the onlyVault modifier, which restricts access to only those addresses that have been added to the vaultWhitelist  mapping using the addVault() function. However, anyone who can call the addVault()  function and add their address to the mapping, effectively grants themselves access to the claim() function. For example, let's say, an attacker deploys a contract that calls the addVault() function with their own address as the parameter. They can then call claim() function from their deployed contract and withdraw tokens from the contract's balance, even if they are not actually a trusted vault. This can result in a loss of funds for the contract owner.</t>
  </si>
  <si>
    <t>https://github.com/sherlock-audit/2023-01-derby-judging/blob/main//false/292.md</t>
  </si>
  <si>
    <t>selfbuild/2023-01-derby/derby-yield-optimiser/contracts/Controller.sol</t>
  </si>
  <si>
    <t>TP(claim,Delegate Call to Arbitrary Contract,6.25)</t>
  </si>
  <si>
    <t>ttweb/Cooler.sol</t>
  </si>
  <si>
    <t>Cooler</t>
  </si>
  <si>
    <t>roll</t>
  </si>
  <si>
    <t>Roll function has no access control and can be called by anyone</t>
  </si>
  <si>
    <t>https://github.com/sherlock-audit/2023-01-cooler-judging/blob/main//005-H/112.md</t>
  </si>
  <si>
    <t>selfbuild/2023-01-cooler/src/Cooler.sol</t>
  </si>
  <si>
    <t>slither_library = ["@openzeppelin/=datasets/clean_datasets/ACFix/selfbuild/2023-01-cooler/lib/openzeppelin-contracts/"]</t>
  </si>
  <si>
    <t>FN(Reentrancy,8.25)</t>
  </si>
  <si>
    <t>request</t>
  </si>
  <si>
    <t>Because is lack of access control on request() function, anyone can call it up and without any restriction create many different fake requests. This could seriously compromise the whole contract.</t>
  </si>
  <si>
    <t>https://github.com/sherlock-audit/2023-01-cooler-judging/blob/main//025-M/199.md</t>
  </si>
  <si>
    <t>FN(Unchecked external call,7)</t>
  </si>
  <si>
    <t>ttweb/CrabNetting.sol</t>
  </si>
  <si>
    <t>CrabNetting</t>
  </si>
  <si>
    <t>checkOrder</t>
  </si>
  <si>
    <t>Anyone can call checkOrder() to invalidated an order. If someone other than the trader of the order call to invalidate an order, the normal auction operations could be influenced, traders could also suffer loss due to the cancellation of their orders. In _useNonce(), this order can be invalidated by setting the nonces[][] to be true, then in the auction call will fail due to revert in _checkOrder(_p.orders[i]). The severity of impacts vary. During severe market conditions malicious user could even frontrun the admin's auction txn and invalidate the orders. When the market is tumbling, the price is changing rapidly, and the failure of txn could cause fund loss for lots of users. Or for example, the trader plan to stop loss with the order, but since the order is cancelled, the trader's position could be liquidated.</t>
  </si>
  <si>
    <t>https://github.com/sherlock-audit/2022-10-astaria-judging/blob/main//017-M/161.md</t>
  </si>
  <si>
    <t>can't find gpl</t>
  </si>
  <si>
    <t>FN
FP(toggleAuctionLive,Owner manipulation,4.75)</t>
  </si>
  <si>
    <t>ttweb/DefaultStateManager.sol</t>
  </si>
  <si>
    <t>DefaultStateManager</t>
  </si>
  <si>
    <t>FN
FP(calculateAndClaimUnlockedCapital,Authorization Bypass,5.25)</t>
  </si>
  <si>
    <t>ttweb/DepositLog.sol</t>
  </si>
  <si>
    <t>DepositLog</t>
  </si>
  <si>
    <t>approvedToLog</t>
  </si>
  <si>
    <t>Access control for DepositLog is not implemented. DepositLog is inherited by TBTCSystem and its functionality is usually consumed by Deposit contracts to emit log events on TBTCSystem. Due to the missing access control, anyone can emit log events on TBTCSystem. Users, client-software or other components that rely on these events might be tricked into performing actions that were not authorized by the system.</t>
  </si>
  <si>
    <t>https://consensys.net//diligence/audits/2020/02/thesis-tbtc-and-keep/</t>
  </si>
  <si>
    <t>no source</t>
  </si>
  <si>
    <t>TP(approvedToLog,Authorization Bypass,6.75)</t>
  </si>
  <si>
    <t>ttweb/Depositor.sol</t>
  </si>
  <si>
    <t>Depositor</t>
  </si>
  <si>
    <t>withdrawFromGauge</t>
  </si>
  <si>
    <t>Function withdrawFromGauge in Depositor contract transfers the pooledTokens associated to an NFTId. It does not have any kind of access control, so any user can pass any NFTId to the function and steal the collateral deposited by another user.When a user deposits through his Depositor contract by calling depositToGauge, it transfers to the gauge the amount to be deposited and calls the corresponding DepositorReceipt to mint an NFT that represents the user deposit. This function has an onlyOwner() modifier meaning it can be only called by the owner of the contract. But when the user wants to withdraw from the gauge by calling withdrawFromGauge (directly or through calls to partialWithdrawFromGauge or multiWithdrawFromGauge) https://github.com/sherlock-audit/2022-11-isomorph/blob/main/contracts/Velo-Deposit-Tokens/contracts/Depositor.sol#L119-L127 there is no owner check, meaning any user can call the function, burn the NFT and receive the amount deposited corresponding to the receipt. The only requirement is that the depositor must be approved by the user as a spender of the NFT receipts (which could be backrun by a malicious user).</t>
  </si>
  <si>
    <t>https://github.com/sherlock-audit/2022-11-isomorph-judging/blob/main//002-H/109.md</t>
  </si>
  <si>
    <t>FN(withdrawFromGauge,Reentrancy,7.25)</t>
  </si>
  <si>
    <t>ttweb/DnGmxBatchingManager.sol</t>
  </si>
  <si>
    <t>DnGmxBatchingManager</t>
  </si>
  <si>
    <t>executeBatchDeposit</t>
  </si>
  <si>
    <t>executeBatchDeposit() is callable by anyone which _unpause() deposits. 15 minutes cool down set by the protocol can be bypassed due to this.</t>
  </si>
  <si>
    <t>https://github.com/sherlock-audit/2022-10-rage-trade-judging/blob/main//001-M/024.md</t>
  </si>
  <si>
    <t>ttweb/DnGmxJuniorVault.sol</t>
  </si>
  <si>
    <t>DnGmxJuniorVault</t>
  </si>
  <si>
    <t>Anyone (any external users) can mint any amount of vault shares - because of lack of access control modifier on mint() function</t>
  </si>
  <si>
    <t>https://github.com/sherlock-audit/2022-10-rage-trade-judging/blob/main//low-info/011.md</t>
  </si>
  <si>
    <t>ttweb/DnGmxSeniorVault.sol</t>
  </si>
  <si>
    <t>DnGmxSeniorVault</t>
  </si>
  <si>
    <t>ttweb/EmergencyOracle.sol</t>
  </si>
  <si>
    <t>EmergencyOracleFactory</t>
  </si>
  <si>
    <t>newEmergencyOracle</t>
  </si>
  <si>
    <t>newEmergencyOracle() is an external function in the EmergencyOracleFactory.sol used to deploy new Emergency Oracles. There's no access control implemented on it, therefore anyone can deploy an emergency oracle not just JOJO team in the case of an emergency.</t>
  </si>
  <si>
    <t>https://github.com/sherlock-audit/2023-04-jojo-judging/blob/main//073-M/203.md</t>
  </si>
  <si>
    <t>selfbuild/2023-04-jojo/JUSDV1/src/oracle/EmergencyOracle.sol</t>
  </si>
  <si>
    <t>slither_library = ["@openzeppelin/=datasets/clean_datasets/ACFix/selfbuild/2023-04-jojo/JUSDV1/lib/openzeppelin-contracts/"]</t>
  </si>
  <si>
    <t>ttweb/ERC20Token.sol</t>
  </si>
  <si>
    <t>ERC20Token</t>
  </si>
  <si>
    <t>revokeGuardian</t>
  </si>
  <si>
    <t>once revoke function is called, no one will have the guardian role. revokeGuardian remove the only one guardian role , and no one has the guardian role may cause the function can never be accessed.</t>
  </si>
  <si>
    <t>https://github.com/sherlock-audit/2023-04-unitasprotocol-judging/blob/main//false/126.md</t>
  </si>
  <si>
    <t>selfbuild/2023-04-unitasprotocol/Unitas-Protocol/src/ERC20Token.sol</t>
  </si>
  <si>
    <t>slither_library = ["@openzeppelin/=datasets/clean_datasets/ACFix/selfbuild/2023-04-unitasprotocol/Unitas-Protocol/lib/openzeppelin-contracts/"]</t>
  </si>
  <si>
    <t>FN
FP(mint,Unbounded Minting,6.75)</t>
  </si>
  <si>
    <t>ttweb/Factory.sol</t>
  </si>
  <si>
    <t>Factory</t>
  </si>
  <si>
    <t>upgrade</t>
  </si>
  <si>
    <t>Lack of access control modifier on the upgrade() function in the Factory.sol</t>
  </si>
  <si>
    <t>https://github.com/sherlock-audit/2022-10-nftport-judging/blob/main//low-info/007.md</t>
  </si>
  <si>
    <t>ttweb/FlashLoanRepay.sol</t>
  </si>
  <si>
    <t>FlashLoanRepay</t>
  </si>
  <si>
    <t>JOJOFlashLoan</t>
  </si>
  <si>
    <t>The contracts FlashloanRepay, FlashloanLiquidate, GeneralRepay are trying to implement JOJO teams product functionality. FlashloanRepay is trying to repay JUSD by using the deposited collateral. FlashloanLiquidate is trying to implement the liquidation of JOJO team. GeneralRepay is trying to repay JUSD by using the collateral in users’ wallet. DepositStableCoinToDealer is trying to deposit USDC to the JOJODealer. However, the functions FlashloanRepay.JOJOFlashLoan, FlashloanRepay.JOJOFlashLoan, and GeneralRepay.JOJOFlashLoan do not validate that the caller is the JUSDBank, and DepositStableCoinToDealer.depositStableCoin do not validate if the caller is the contract owner. This means any address can call these functions passing arbitrary parameters, which can lead to user loss of funds. For example, a malicious attacker can call FlashLoanRepay.JOJOFlashLoan passing a param that decodes to swapTarget equals to USDC and data that is the calldata for approve or transfer.</t>
  </si>
  <si>
    <t>https://github.com/sherlock-audit/2023-04-jojo-judging/blob/main//001-H/122.md</t>
  </si>
  <si>
    <t>selfbuild/2023-04-jojo/JUSDV1/src/Impl/flashloanImpl/FlashLoanRepay.sol</t>
  </si>
  <si>
    <t>TP(Improper authorization,7.0)</t>
  </si>
  <si>
    <t>ttweb/FootiumAcademy.sol</t>
  </si>
  <si>
    <t>FootiumAcademy</t>
  </si>
  <si>
    <t>mintPlayers</t>
  </si>
  <si>
    <t>Within the FootiumAcademy#mintPlayers(), there is no validation to check whether or not the caller would be the owner. This lead to unexpected-situation that anyone can call the FootiumAcademy#mintPlayers() and mint players freely.</t>
  </si>
  <si>
    <t>https://github.com/sherlock-audit/2023-04-footium-judging/blob/main//false/259.md</t>
  </si>
  <si>
    <t>FN(mintPlayers,Unchecked Low-Level Call,1.5)</t>
  </si>
  <si>
    <t>ttweb/FootiumGeneralPaymentContract.sol</t>
  </si>
  <si>
    <t>FootiumGeneralPaymentContract</t>
  </si>
  <si>
    <t>The makePayment function allows any address to make a payment for any club. This could lead to unauthorized users paying on behalf of a club or causing disruptions in the payment process.</t>
  </si>
  <si>
    <t>https://github.com/sherlock-audit/2023-04-footium-judging/blob/main//false/265.md</t>
  </si>
  <si>
    <t>FN(makePayment,Denial of Service by Failed Transfer,6.0)</t>
  </si>
  <si>
    <t>ttweb/Game.sol</t>
  </si>
  <si>
    <t>Game</t>
  </si>
  <si>
    <t>basketTotalAllocatedTokens</t>
  </si>
  <si>
    <t>In Game.sol function basketTotalAllocatedTokens()  returns total allocation of basket . It should be only allowed to only owner of the basket but any one call get total allocation using other users basketId.</t>
  </si>
  <si>
    <t>https://github.com/sherlock-audit/2023-01-derby-judging/blob/main//false/346.md</t>
  </si>
  <si>
    <t>ttweb/GoldfinchAdapter.sol</t>
  </si>
  <si>
    <t>GoldfinchAdapter</t>
  </si>
  <si>
    <t>all initialize function miss modifiers and access control check , meaning that any one how call or the first one get Ownership of that contract</t>
  </si>
  <si>
    <t>https://github.com/sherlock-audit/2023-02-carapace-judging/blob/main//false/222.md</t>
  </si>
  <si>
    <t>library</t>
  </si>
  <si>
    <t>ttweb/Initialized.sol</t>
  </si>
  <si>
    <t>initialize() should only be called by the deployer since it sets the vital state variables. However, it is a public function which can be called by anyone. Anyone can frontrun the contract deployer and call the initialize()</t>
  </si>
  <si>
    <t>https://github.com/sherlock-audit/2022-09-knox-judging/blob/main//closed/052.md</t>
  </si>
  <si>
    <t>TP(initialize,Missing access control,7.0)</t>
  </si>
  <si>
    <t>ttweb/IOracleFactory.sol</t>
  </si>
  <si>
    <t>IOracleFactory</t>
  </si>
  <si>
    <t>createOracle</t>
  </si>
  <si>
    <t>The createOracle function in the IOracleFactory.sol contract creates a new OracleImpl instance. However, there are no access control mechanisms to restrict who can call this function, which may allow unauthorized users to create oracles with potentially malicious parameters.</t>
  </si>
  <si>
    <t>https://github.com/sherlock-audit/2023-04-splits-judging/blob/main//false/017.md</t>
  </si>
  <si>
    <t>selfbuild/2023-04-splits/splits-oracle/src/interfaces/IOracleFactory.sol</t>
  </si>
  <si>
    <t>slither_library = ["splits-utils/=datasets/clean_datasets/ACFix/selfbuild/2023-04-splits/splits-utils/src/"]</t>
  </si>
  <si>
    <t>TP(Unrestricted Factory Pattern,6.25)</t>
  </si>
  <si>
    <t>ttweb/JUSDMulticall.sol</t>
  </si>
  <si>
    <t>JUSDMulticall</t>
  </si>
  <si>
    <t>multiCall</t>
  </si>
  <si>
    <t>The multiCall() function in JUSDMulticall.sol has no access control. And JUSDBank.sol inherits from it. As a result, anyone can call this function to perform anything, such as draining the fund or call selfdestruct to ruin the contract. Function multiCall() use delegatecall, which allows the caller to do literally anything.</t>
  </si>
  <si>
    <t>https://github.com/sherlock-audit/2023-04-jojo-judging/blob/main//invalid/376.md</t>
  </si>
  <si>
    <t>selfbuild/2023-04-jojo/JUSDV1/src/Impl/JUSDMulticall.sol</t>
  </si>
  <si>
    <t>slither_library = ["@openzeppelin/=datasets/clean_datasets/ACFix/selfbuild/2023-04-jojo/JUSDV1/lib/openzeppelin-contracts/","@JOJO=datasets/clean_datasets/ACFix/selfbuild/2023-04-jojo/JUSDV1/lib/smart-contract-EVM/"]</t>
  </si>
  <si>
    <t>TP(Arbitrary code execution,9.0)</t>
  </si>
  <si>
    <t>ttweb/LenderManager.sol</t>
  </si>
  <si>
    <t>LenderManager</t>
  </si>
  <si>
    <t>_getLoanMarketId</t>
  </si>
  <si>
    <t>The internal _getLoanMarketId function does not have any access control mechanism. This might lead to unauthorized access to the market ID information. In the LenderManager.sol contract, the _getLoanMarketId function lacks access control, potentially allowing unauthorized parties to access market ID information.</t>
  </si>
  <si>
    <t>https://github.com/sherlock-audit/2023-03-teller-judging/blob/main//invalid/059.md</t>
  </si>
  <si>
    <t>FN
initializer Consider as potentia</t>
  </si>
  <si>
    <t>ttweb/LienToken.sol</t>
  </si>
  <si>
    <t>LienToken</t>
  </si>
  <si>
    <t>_deleteLienPosition</t>
  </si>
  <si>
    <t>lack of access control in LienToken.sol#_deleteLienPosition allows anyone to modify the LienToken position.</t>
  </si>
  <si>
    <t>https://github.com/sherlock-audit/2022-10-astaria-judging/blob/main//017-M/153.md</t>
  </si>
  <si>
    <t>ttweb/Log.sol</t>
  </si>
  <si>
    <t>Log</t>
  </si>
  <si>
    <t>DefiSaverLogger is used as a logging aggregator within the entire dapp, but anyone can create logs.</t>
  </si>
  <si>
    <t>https://consensys.net//diligence/audits/2021/03/defi-saver/</t>
  </si>
  <si>
    <t>TP(Unrestricted Access,5.5)</t>
  </si>
  <si>
    <t>ttweb/MainVault.sol</t>
  </si>
  <si>
    <t>MainVault</t>
  </si>
  <si>
    <t>There is no access control implemented in the withdraw function of MainVault.sol.</t>
  </si>
  <si>
    <t>https://github.com/sherlock-audit/2022-11-opyn-judging/blob/main//006-H/215.md</t>
  </si>
  <si>
    <t>FN(withdraw,Mismatched Authorization,1.75)
criticism:The reasoning provided is incorrect...</t>
  </si>
  <si>
    <t>ttweb/OpenQV1.sol</t>
  </si>
  <si>
    <t>OpenQV1</t>
  </si>
  <si>
    <t>https://github.com/sherlock-audit/2023-02-openq-judging/blob/main//false/410.md</t>
  </si>
  <si>
    <t>FN
FP(mintBounty,Improper Access Control,4.25)</t>
  </si>
  <si>
    <t>ttweb/Operation.sol</t>
  </si>
  <si>
    <t>Operation</t>
  </si>
  <si>
    <t>setFundingRateKeeper</t>
  </si>
  <si>
    <t>Lack of access control to several functions in Operation.sol</t>
  </si>
  <si>
    <t>https://github.com/sherlock-audit/2023-04-jojo-judging/blob/main//invalid/370.md</t>
  </si>
  <si>
    <t>selfbuild/2023-04-jojo/smart-contract-EVM/contracts/lib/Operation.sol</t>
  </si>
  <si>
    <t>ttweb/PassThroughWalletImpl.sol</t>
  </si>
  <si>
    <t>PassThroughWalletImpl</t>
  </si>
  <si>
    <t>initializer</t>
  </si>
  <si>
    <t>The initializer function in PassThroughWalletImpl.sol is used to set the initial values of the contract, such as the owner, paused state, and pass-through address. Currently, the function only checks if the caller is the PassThroughWalletFactory. However, due to the lack of access control, an attacker could potentially call the function and overwrite the contract's state.</t>
  </si>
  <si>
    <t>https://github.com/sherlock-audit/2023-04-splits-judging/blob/main//false/023.md</t>
  </si>
  <si>
    <t>selfbuild/2023-04-splits/splits-pass-through-wallet/src/PassThroughWalletImpl.sol</t>
  </si>
  <si>
    <t>slither_library = ["splits-utils/=datasets/clean_datasets/ACFix/selfbuild/2023-04-splits/splits-utils/src/", "solady=datasets/clean_datasets/ACFix/selfbuild/2023-04-splits/splits-diversifier/lib/solady/src"]</t>
  </si>
  <si>
    <t>TP(Lack of initialization control,7.0)</t>
  </si>
  <si>
    <t>ttweb/PremiumCalculator.sol</t>
  </si>
  <si>
    <t>PremiumCalculator</t>
  </si>
  <si>
    <t>ttweb/Product.sol</t>
  </si>
  <si>
    <t>Product</t>
  </si>
  <si>
    <t>closeTakeFor</t>
  </si>
  <si>
    <t>Lack of access control modifier on the Product#closeTakeFor() and the Product#closeMakeFor(), which allow a malicious user to be freely able to close any existing user's Maker/Taker position.</t>
  </si>
  <si>
    <t>https://github.com/sherlock-audit/2023-05-perennial-judging/blob/main//invalid/171.md</t>
  </si>
  <si>
    <t>@equilibria</t>
  </si>
  <si>
    <t>closeMakeFor</t>
  </si>
  <si>
    <t>ttweb/ProtectionPool.sol</t>
  </si>
  <si>
    <t>ProtectionPool</t>
  </si>
  <si>
    <t>ttweb/ProtectionPoolCycleManager.sol</t>
  </si>
  <si>
    <t>ProtectionPoolCycleManager</t>
  </si>
  <si>
    <t>ttweb/ReferenceLendingPools.sol</t>
  </si>
  <si>
    <t>ReferenceLendingPools</t>
  </si>
  <si>
    <t>https://github.com/sherlock-audit/2023-02-blueberry-judging/blob/main//false/268.md</t>
  </si>
  <si>
    <t>FN(initialize,Unchecked Loop,4.25)</t>
  </si>
  <si>
    <t>ttweb/Registry.sol</t>
  </si>
  <si>
    <t>Registry</t>
  </si>
  <si>
    <t>Registry.init() is missing an access control which allows anyone to call the init() function and become the owner of the contract. This also allows for potential frontrunning of the function allowing an attacker to frontrun the transaction to initialize the contract and become the owner.Registry.init() initializes the contract and sets the caller to become the owner of the contract allowing the caller to perform any admin privilege activity. Since there is no access control check, anyone can call the function and become the owner if has not been initialized from on set. Additionally, if an authorized address calls the init() function, due to not having access control, any user monitoring the blockchain network will replay the call and frontrun their transaction to be the one added to the block successfully and be the owner of the Registry contract.</t>
  </si>
  <si>
    <t>https://github.com/sherlock-audit/2022-08-sentiment-judging/blob/main//info/248-h.md</t>
  </si>
  <si>
    <t>selfbuild/protocol/src/core/Registry.sol</t>
  </si>
  <si>
    <t>ttweb/RollerPeriphery.sol</t>
  </si>
  <si>
    <t>RollerPeriphery</t>
  </si>
  <si>
    <t>Lack of access control modifier on mint() function in the RollerPeriphery.sol</t>
  </si>
  <si>
    <t>https://github.com/sherlock-audit/2022-11-sense-judging/blob/main//low-info/005.md</t>
  </si>
  <si>
    <t>selfbuild/2022-11-sense/contracts/src/RollerPeriphery.sol</t>
  </si>
  <si>
    <t>slither_library = ["solmate/=datasets/clean_datasets/ACFix/selfbuild/2022-11-sense/contracts/lib/solmate/src/"]</t>
  </si>
  <si>
    <t>FN(mint,Unchecked return values,3.5)</t>
  </si>
  <si>
    <t>ttweb/RoundFactory.sol</t>
  </si>
  <si>
    <t>RoundFactory</t>
  </si>
  <si>
    <t>create</t>
  </si>
  <si>
    <t>According to the "Overview" in the README, a program operator is supposed to manage a round like this: Each grant-giving organization will have an on-chain program, which manages it's rounds. However, within the RoundFactory#create() above, there is no validation to check wether or not the caller would be a program operator who has a Program Operator Role. As a result, any users can call the RoundFactory#create() above and they can freely create a round.</t>
  </si>
  <si>
    <t>https://github.com/sherlock-audit/2023-03-Gitcoin-judging/blob/main//invalid/140.md</t>
  </si>
  <si>
    <t>FN(Improper input validation,4.25)</t>
  </si>
  <si>
    <t>ttweb/RoundImplementation.sol</t>
  </si>
  <si>
    <t>RoundImplementation</t>
  </si>
  <si>
    <t>applyToRound</t>
  </si>
  <si>
    <t>In the function RoundImplementation::applyToRound(), there is no check on the caller's identity, which means anyone can call it. If a malicious user repeatedly calls this function, it can add a large amount of junk data to the protocol and disrupt it.</t>
  </si>
  <si>
    <t>https://github.com/sherlock-audit/2023-03-Gitcoin-judging/blob/main//003-M/071.md</t>
  </si>
  <si>
    <t>FN
FP(withdraw,Unauthorized Withdrawal,6.25)</t>
  </si>
  <si>
    <t>ttweb/StakeAllocator/components/staking/allocation/StakeAllocator.sol</t>
  </si>
  <si>
    <t>StakeAllocator</t>
  </si>
  <si>
    <t>didTransferShares</t>
  </si>
  <si>
    <t>Due to this, the StakeAllocator.didTransferShares() has an external visibility so it can be called from the FortaStaking contract to perform transfers. However, there is no access control modifier to allow only the staking contract to call this. Therefore, anyone can call this function with whatever parameters they want.</t>
  </si>
  <si>
    <t>https://consensys.net//diligence/audits/2022/11/forta-delegated-staking/</t>
  </si>
  <si>
    <t>ttweb/TBTCSystem.sol</t>
  </si>
  <si>
    <t>TBTCSystem</t>
  </si>
  <si>
    <t>requestNewKeep</t>
  </si>
  <si>
    <t>TBTCSystem.requestNewKeep is used by each new Deposit contract on creation. It calls BondedECDSAKeepFactory.openKeep, which sets the Deposit contract as the “owner,” a permissioned role within the created keep. openKeep also automatically allocates bonds from members registered to the application. The “application” from which member bonds are allocated is the tbtc system itself.
Because requestNewKeep has no access controls, anyone can request that a keep be opened with msg.sender as the “owner,” and arbitrary signing threshold values:</t>
  </si>
  <si>
    <t>ttweb/TellerV2.sol</t>
  </si>
  <si>
    <t>TellerV2</t>
  </si>
  <si>
    <t>submitBid</t>
  </si>
  <si>
    <t>The setMarketRate function is missing access control checks, allowing any user to call the function and modify the interest rate of a market. This could lead to potential financial loss for borrowers and lenders if the market rate is manipulated by unauthorized parties.</t>
  </si>
  <si>
    <t>https://github.com/sherlock-audit/2023-03-teller-judging/blob/main//invalid/029.md</t>
  </si>
  <si>
    <t>FN(submitBid,DoS by External Contract,2.0)</t>
  </si>
  <si>
    <t>ttweb/TellerV2Context.sol</t>
  </si>
  <si>
    <t>TellerV2Context</t>
  </si>
  <si>
    <t>isTrustedMarketForwarder</t>
  </si>
  <si>
    <t>The TellerV2Context.sol contract does not have proper access control in place for market management functions. This could potentially allow unauthorized actors to manipulate market parameters, leading to undesirable consequences for borrowers and lenders.</t>
  </si>
  <si>
    <t>https://github.com/sherlock-audit/2023-03-teller-judging/blob/main//invalid/054.md</t>
  </si>
  <si>
    <t>ttweb/USSD.sol</t>
  </si>
  <si>
    <t>USSD</t>
  </si>
  <si>
    <t>mintRebalancer</t>
  </si>
  <si>
    <t>I believe that mintRebalancer and burnRebalancer functions suppose only be called from USSDRebalancer, but it's not enforced and anyone can do it</t>
  </si>
  <si>
    <t>https://github.com/sherlock-audit/2023-05-USSD-judging/blob/main//008-H/895.md</t>
  </si>
  <si>
    <t>burnRebalancer</t>
  </si>
  <si>
    <t>https://github.com/sherlock-audit/2023-05-USSD-judging/blob/main//008-H/875.md</t>
  </si>
  <si>
    <t>txorigin/0x04037029b4f7fac106b7a3b88985d095e11fd091_1.sol</t>
  </si>
  <si>
    <t>Fund3Week</t>
  </si>
  <si>
    <t>onlyOwner</t>
  </si>
  <si>
    <t>We additionally have onlyHuman</t>
  </si>
  <si>
    <t>FN,no onlyOwner and tx.origin</t>
  </si>
  <si>
    <t>txorigin/0x0edf34a446966eda43bc71ca4627ed5847914025_1.sol</t>
  </si>
  <si>
    <t>Ownable</t>
  </si>
  <si>
    <t>FN
No reference to onlyOwner was found, and other related functions also do not mention tx.origin.</t>
  </si>
  <si>
    <t>txorigin/0x30410fab6d367e11839c00ad93eb357e3066ada8_1.sol</t>
  </si>
  <si>
    <t>BetHorde</t>
  </si>
  <si>
    <t>OnlyOwner</t>
  </si>
  <si>
    <t>FN,No reference to onlyOwner was found, and other related functions also do not mention tx.origin.
FP,ForceBet,Unauthorized access,9.0</t>
  </si>
  <si>
    <t>txorigin/0x4c0f67a4b3ef0c4fc52aec217457c4da37353e85_1.sol</t>
  </si>
  <si>
    <t>TattooMoneyPublicSaleIV</t>
  </si>
  <si>
    <t>FN,No reference to onlyOwner was found, and other related functions also do not mention tx.origin.
FP,tokensPerEth,Oracle Manipulation,7.75</t>
  </si>
  <si>
    <t>txorigin/0x82840058ab0b44d0a1d208b24fa60ce8b88c1e91_1.sol</t>
  </si>
  <si>
    <t>BridgeOperatable</t>
  </si>
  <si>
    <t>We additionally have
onlyOperator1 and onlyOperator2</t>
  </si>
  <si>
    <t>txorigin/0x8550Dc7eB3C5055170AFdD3cDB360eB12a25fE45_1.sol</t>
  </si>
  <si>
    <t>txorigin/0xC4f7BF3Afba59211a95511291F766019172FF36e_1.sol</t>
  </si>
  <si>
    <t>owned</t>
  </si>
  <si>
    <t>Yes
change version to 0.4.24</t>
  </si>
  <si>
    <t>FN,locate transferOwnership but not use. score:0.5</t>
  </si>
  <si>
    <t>txorigin/0xa4caf5dd785ec2557aed294243f2f159e40c4830_1.sol</t>
  </si>
  <si>
    <t>txorigin/0xc606721c67741D9C140Ed11b93Fc4ea857C8A69f_1.sol</t>
  </si>
  <si>
    <t>Achecker</t>
  </si>
  <si>
    <t>GPTlens</t>
  </si>
  <si>
    <t>Precision</t>
  </si>
  <si>
    <t>Recall</t>
  </si>
  <si>
    <t>F1-score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</si>
</sst>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s>
  <fonts count="20">
    <font>
      <sz val="11"/>
      <color theme="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9">
    <xf numFmtId="0" fontId="0" fillId="0" borderId="0" xfId="0">
      <alignment vertical="center"/>
    </xf>
    <xf numFmtId="176" fontId="0" fillId="0" borderId="0" xfId="0" applyNumberForma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1" fillId="0" borderId="0" xfId="6" applyFont="1">
      <alignment vertical="center"/>
    </xf>
    <xf numFmtId="0" fontId="2" fillId="0" borderId="0" xfId="6">
      <alignment vertical="center"/>
    </xf>
    <xf numFmtId="0" fontId="0" fillId="0" borderId="0" xfId="0" applyFill="1">
      <alignment vertical="center"/>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ooded-meter-1d8.notion.site/0e85e02c5ed34df3855ea9f3ca40f53b?v=22e5e2c506ef4caeb40b4f78e23517ee&amp;p=35b99513c187402a9aaa74e0baa317a2&amp;pm=s" TargetMode="External"/><Relationship Id="rId8" Type="http://schemas.openxmlformats.org/officeDocument/2006/relationships/hyperlink" Target="https://github.com/sherlock-audit/2022-10-astaria-judging/blob/main//017-M/153.md" TargetMode="External"/><Relationship Id="rId7" Type="http://schemas.openxmlformats.org/officeDocument/2006/relationships/hyperlink" Target="https://github.com/sherlock-audit/2022-09-knox-judging/blob/main//closed/052.md" TargetMode="External"/><Relationship Id="rId6" Type="http://schemas.openxmlformats.org/officeDocument/2006/relationships/hyperlink" Target="https://github.com/sherlock-audit/2022-11-isomorph-judging/blob/main//002-H/109.md" TargetMode="External"/><Relationship Id="rId5" Type="http://schemas.openxmlformats.org/officeDocument/2006/relationships/hyperlink" Target="https://github.com/sherlock-audit/2022-12-notional-judging/blob/main//low/056.md" TargetMode="External"/><Relationship Id="rId4" Type="http://schemas.openxmlformats.org/officeDocument/2006/relationships/hyperlink" Target="https://blog.openzeppelin.com/uma-optimistic-asserter-audit/" TargetMode="External"/><Relationship Id="rId3" Type="http://schemas.openxmlformats.org/officeDocument/2006/relationships/hyperlink" Target="https://medium.com/quillhash/decoding-ragnarok-online-invasion-44k-exploit-quillaudits-261b7e23b55" TargetMode="External"/><Relationship Id="rId22" Type="http://schemas.openxmlformats.org/officeDocument/2006/relationships/hyperlink" Target="https://github.com/sherlock-audit/2023-03-teller-judging/blob/main//invalid/059.md" TargetMode="External"/><Relationship Id="rId21" Type="http://schemas.openxmlformats.org/officeDocument/2006/relationships/hyperlink" Target="https://wooded-meter-1d8.notion.site/0e85e02c5ed34df3855ea9f3ca40f53b?v=22e5e2c506ef4caeb40b4f78e23517ee&amp;p=0fad042e6c1d45439eb78d0560de3cd3&amp;pm=s" TargetMode="External"/><Relationship Id="rId20" Type="http://schemas.openxmlformats.org/officeDocument/2006/relationships/hyperlink" Target="https://github.com/sherlock-audit/2023-02-carapace-judging/blob/main//false/243.md" TargetMode="External"/><Relationship Id="rId2" Type="http://schemas.openxmlformats.org/officeDocument/2006/relationships/hyperlink" Target="https://github.com/code-423n4/2021-12-maple-findings/issues/56" TargetMode="External"/><Relationship Id="rId19" Type="http://schemas.openxmlformats.org/officeDocument/2006/relationships/hyperlink" Target="https://github.com/sherlock-audit/2023-02-blueberry-judging/blob/main//false/268.md" TargetMode="External"/><Relationship Id="rId18" Type="http://schemas.openxmlformats.org/officeDocument/2006/relationships/hyperlink" Target="https://github.com/sherlock-audit/2022-08-sentiment-judging/blob/main//info/246-h.md" TargetMode="External"/><Relationship Id="rId17" Type="http://schemas.openxmlformats.org/officeDocument/2006/relationships/hyperlink" Target="https://wooded-meter-1d8.notion.site/0e85e02c5ed34df3855ea9f3ca40f53b?v=22e5e2c506ef4caeb40b4f78e23517ee&amp;p=ad14e2665a33499e88b5ff5c2c0b3232&amp;pm=s" TargetMode="External"/><Relationship Id="rId16" Type="http://schemas.openxmlformats.org/officeDocument/2006/relationships/hyperlink" Target="https://wooded-meter-1d8.notion.site/0e85e02c5ed34df3855ea9f3ca40f53b?v=22e5e2c506ef4caeb40b4f78e23517ee&amp;p=a1c5404b7dc945a48bc4896b8b6b0f93&amp;pm=s" TargetMode="External"/><Relationship Id="rId15" Type="http://schemas.openxmlformats.org/officeDocument/2006/relationships/hyperlink" Target="https://wooded-meter-1d8.notion.site/0e85e02c5ed34df3855ea9f3ca40f53b?v=22e5e2c506ef4caeb40b4f78e23517ee&amp;p=83b39ee94ab54356a4d37463a856266a&amp;pm=s" TargetMode="External"/><Relationship Id="rId14" Type="http://schemas.openxmlformats.org/officeDocument/2006/relationships/hyperlink" Target="https://wooded-meter-1d8.notion.site/0e85e02c5ed34df3855ea9f3ca40f53b?v=22e5e2c506ef4caeb40b4f78e23517ee&amp;p=fb6683bd7bdf4205a753677c17148e86&amp;pm=s" TargetMode="External"/><Relationship Id="rId13" Type="http://schemas.openxmlformats.org/officeDocument/2006/relationships/hyperlink" Target="https://wooded-meter-1d8.notion.site/0e85e02c5ed34df3855ea9f3ca40f53b?v=22e5e2c506ef4caeb40b4f78e23517ee&amp;p=a56fb91f2e2b4b869463562322060479&amp;pm=s" TargetMode="External"/><Relationship Id="rId12" Type="http://schemas.openxmlformats.org/officeDocument/2006/relationships/hyperlink" Target="https://wooded-meter-1d8.notion.site/0e85e02c5ed34df3855ea9f3ca40f53b?v=22e5e2c506ef4caeb40b4f78e23517ee&amp;p=d4489312830a40819dbfc3ec1fb4246c&amp;pm=s" TargetMode="External"/><Relationship Id="rId11" Type="http://schemas.openxmlformats.org/officeDocument/2006/relationships/hyperlink" Target="https://consensys.net//diligence/audits/2022/11/forta-delegated-staking/" TargetMode="External"/><Relationship Id="rId10" Type="http://schemas.openxmlformats.org/officeDocument/2006/relationships/hyperlink" Target="https://wooded-meter-1d8.notion.site/0e85e02c5ed34df3855ea9f3ca40f53b?v=22e5e2c506ef4caeb40b4f78e23517ee&amp;p=67a1acabd9fc411ca0ed2bc082313ea1&amp;pm=s" TargetMode="External"/><Relationship Id="rId1" Type="http://schemas.openxmlformats.org/officeDocument/2006/relationships/hyperlink" Target="https://github.com/code-423n4/2022-01-behodler-findings/issues/3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2"/>
  <sheetViews>
    <sheetView zoomScaleSheetLayoutView="60" topLeftCell="E1" workbookViewId="0">
      <pane ySplit="2" topLeftCell="A3" activePane="bottomLeft" state="frozen"/>
      <selection/>
      <selection pane="bottomLeft" activeCell="W96" sqref="W96"/>
    </sheetView>
  </sheetViews>
  <sheetFormatPr defaultColWidth="10" defaultRowHeight="14.4"/>
  <cols>
    <col min="1" max="1" width="61.8888888888889" customWidth="1"/>
    <col min="2" max="2" width="22.6666666666667" customWidth="1"/>
    <col min="3" max="3" width="22" customWidth="1"/>
    <col min="4" max="5" width="11.4444444444444" customWidth="1"/>
    <col min="6" max="6" width="11.7777777777778" customWidth="1"/>
    <col min="7" max="7" width="30.7777777777778" customWidth="1"/>
    <col min="8" max="8" width="79.5555555555556" style="2" customWidth="1"/>
    <col min="9" max="9" width="20.8888888888889" customWidth="1"/>
    <col min="10" max="10" width="12.9814814814815" customWidth="1"/>
    <col min="11" max="12" width="9.73148148148148" customWidth="1"/>
    <col min="13" max="13" width="27.4444444444444" customWidth="1"/>
    <col min="14" max="14" width="9.73148148148148" customWidth="1"/>
    <col min="17" max="17" width="27" customWidth="1"/>
  </cols>
  <sheetData>
    <row r="1" spans="1:17">
      <c r="J1" s="3" t="s">
        <v>0</v>
      </c>
      <c r="K1" s="3"/>
      <c r="L1" s="3"/>
      <c r="M1" s="3"/>
      <c r="N1" s="3" t="s">
        <v>1</v>
      </c>
      <c r="O1" s="3"/>
      <c r="P1" s="3"/>
      <c r="Q1" s="3"/>
    </row>
    <row r="2" spans="1:17">
      <c r="A2" t="s">
        <v>2</v>
      </c>
      <c r="B2" t="s">
        <v>3</v>
      </c>
      <c r="C2" t="s">
        <v>4</v>
      </c>
      <c r="D2" t="s">
        <v>5</v>
      </c>
      <c r="E2" t="s">
        <v>6</v>
      </c>
      <c r="F2" t="s">
        <v>7</v>
      </c>
      <c r="G2" t="s">
        <v>8</v>
      </c>
      <c r="H2" s="2" t="s">
        <v>9</v>
      </c>
      <c r="I2" t="s">
        <v>10</v>
      </c>
      <c r="J2" t="s">
        <v>11</v>
      </c>
      <c r="K2" t="s">
        <v>12</v>
      </c>
      <c r="L2" t="s">
        <v>13</v>
      </c>
      <c r="M2" t="s">
        <v>14</v>
      </c>
      <c r="N2" t="s">
        <v>11</v>
      </c>
      <c r="O2" t="s">
        <v>12</v>
      </c>
      <c r="P2" t="s">
        <v>13</v>
      </c>
      <c r="Q2" t="s">
        <v>14</v>
      </c>
    </row>
    <row r="3" ht="33" customHeight="1" spans="1:17">
      <c r="A3" t="s">
        <v>15</v>
      </c>
      <c r="B3" t="s">
        <v>16</v>
      </c>
      <c r="C3" t="s">
        <v>17</v>
      </c>
      <c r="D3" s="4" t="s">
        <v>18</v>
      </c>
      <c r="E3" t="s">
        <v>19</v>
      </c>
      <c r="F3" t="s">
        <v>20</v>
      </c>
      <c r="H3" t="s">
        <v>21</v>
      </c>
      <c r="J3">
        <v>0</v>
      </c>
      <c r="K3">
        <v>0</v>
      </c>
      <c r="L3">
        <f>1-J3</f>
        <v>1</v>
      </c>
      <c r="P3">
        <f>1-N3</f>
        <v>1</v>
      </c>
    </row>
    <row r="4" ht="33" customHeight="1" spans="1:17">
      <c r="A4" t="s">
        <v>22</v>
      </c>
      <c r="B4" t="s">
        <v>23</v>
      </c>
      <c r="C4" t="s">
        <v>24</v>
      </c>
      <c r="D4" s="4" t="s">
        <v>25</v>
      </c>
      <c r="E4" s="5" t="s">
        <v>26</v>
      </c>
      <c r="F4" t="s">
        <v>20</v>
      </c>
      <c r="H4" t="s">
        <v>27</v>
      </c>
      <c r="I4" t="s">
        <v>28</v>
      </c>
      <c r="J4">
        <v>0</v>
      </c>
      <c r="K4">
        <v>1</v>
      </c>
      <c r="L4">
        <f t="shared" ref="L4:L35" si="0">1-J4</f>
        <v>1</v>
      </c>
      <c r="N4">
        <v>0</v>
      </c>
      <c r="O4">
        <v>0</v>
      </c>
      <c r="P4">
        <f t="shared" ref="P4:P35" si="1">1-N4</f>
        <v>1</v>
      </c>
      <c r="Q4" t="s">
        <v>29</v>
      </c>
    </row>
    <row r="5" spans="1:17">
      <c r="A5" t="s">
        <v>30</v>
      </c>
      <c r="C5" t="s">
        <v>31</v>
      </c>
      <c r="D5" t="s">
        <v>32</v>
      </c>
      <c r="E5" t="s">
        <v>33</v>
      </c>
      <c r="F5" t="s">
        <v>34</v>
      </c>
      <c r="G5" t="s">
        <v>35</v>
      </c>
      <c r="H5" s="2" t="s">
        <v>30</v>
      </c>
      <c r="J5">
        <v>1</v>
      </c>
      <c r="K5">
        <v>0</v>
      </c>
      <c r="L5">
        <f t="shared" si="0"/>
        <v>0</v>
      </c>
      <c r="P5">
        <f t="shared" si="1"/>
        <v>1</v>
      </c>
      <c r="Q5" t="s">
        <v>36</v>
      </c>
    </row>
    <row r="6" ht="32" customHeight="1" spans="1:17">
      <c r="A6" t="s">
        <v>37</v>
      </c>
      <c r="B6" t="s">
        <v>38</v>
      </c>
      <c r="C6" t="s">
        <v>39</v>
      </c>
      <c r="D6" s="4" t="s">
        <v>40</v>
      </c>
      <c r="E6" s="6" t="s">
        <v>41</v>
      </c>
      <c r="F6" t="s">
        <v>34</v>
      </c>
      <c r="G6" t="s">
        <v>42</v>
      </c>
      <c r="H6" s="2" t="s">
        <v>37</v>
      </c>
      <c r="J6">
        <v>0</v>
      </c>
      <c r="K6">
        <v>0</v>
      </c>
      <c r="L6">
        <f t="shared" si="0"/>
        <v>1</v>
      </c>
      <c r="N6">
        <v>0</v>
      </c>
      <c r="O6">
        <v>0</v>
      </c>
      <c r="P6">
        <f t="shared" si="1"/>
        <v>1</v>
      </c>
    </row>
    <row r="7" spans="1:17">
      <c r="A7" s="7" t="s">
        <v>43</v>
      </c>
      <c r="B7" t="s">
        <v>44</v>
      </c>
      <c r="C7" t="s">
        <v>45</v>
      </c>
      <c r="D7" t="s">
        <v>46</v>
      </c>
      <c r="E7" t="s">
        <v>47</v>
      </c>
      <c r="F7" t="s">
        <v>34</v>
      </c>
      <c r="G7" t="s">
        <v>48</v>
      </c>
      <c r="H7" s="2" t="s">
        <v>43</v>
      </c>
      <c r="J7">
        <v>0</v>
      </c>
      <c r="K7">
        <v>0</v>
      </c>
      <c r="L7">
        <f t="shared" si="0"/>
        <v>1</v>
      </c>
      <c r="N7">
        <v>1</v>
      </c>
      <c r="O7">
        <v>0</v>
      </c>
      <c r="P7">
        <f t="shared" si="1"/>
        <v>0</v>
      </c>
      <c r="Q7" t="s">
        <v>49</v>
      </c>
    </row>
    <row r="8" ht="28.8" spans="1:17">
      <c r="A8" t="s">
        <v>50</v>
      </c>
      <c r="B8" t="s">
        <v>51</v>
      </c>
      <c r="C8" t="s">
        <v>52</v>
      </c>
      <c r="D8" t="s">
        <v>53</v>
      </c>
      <c r="E8" t="s">
        <v>54</v>
      </c>
      <c r="F8" t="s">
        <v>34</v>
      </c>
      <c r="G8" s="4" t="s">
        <v>48</v>
      </c>
      <c r="H8" s="8" t="s">
        <v>50</v>
      </c>
      <c r="J8">
        <v>0</v>
      </c>
      <c r="K8">
        <v>0</v>
      </c>
      <c r="L8">
        <f t="shared" si="0"/>
        <v>1</v>
      </c>
      <c r="N8">
        <v>0</v>
      </c>
      <c r="O8">
        <v>0</v>
      </c>
      <c r="P8">
        <f t="shared" si="1"/>
        <v>1</v>
      </c>
      <c r="Q8" s="4" t="s">
        <v>55</v>
      </c>
    </row>
    <row r="9" ht="43.2" spans="1:17">
      <c r="A9" t="s">
        <v>56</v>
      </c>
      <c r="B9" t="s">
        <v>57</v>
      </c>
      <c r="C9" t="s">
        <v>58</v>
      </c>
      <c r="E9" t="s">
        <v>59</v>
      </c>
      <c r="F9" t="s">
        <v>20</v>
      </c>
      <c r="H9" t="s">
        <v>56</v>
      </c>
      <c r="J9" s="4">
        <v>1</v>
      </c>
      <c r="K9">
        <v>2</v>
      </c>
      <c r="L9">
        <f t="shared" si="0"/>
        <v>0</v>
      </c>
      <c r="N9">
        <v>0</v>
      </c>
      <c r="O9">
        <v>1</v>
      </c>
      <c r="P9">
        <f t="shared" si="1"/>
        <v>1</v>
      </c>
      <c r="Q9" s="4" t="s">
        <v>60</v>
      </c>
    </row>
    <row r="10" spans="1:17">
      <c r="A10" t="s">
        <v>61</v>
      </c>
      <c r="C10" t="s">
        <v>62</v>
      </c>
      <c r="D10" t="s">
        <v>63</v>
      </c>
      <c r="E10" s="6" t="s">
        <v>64</v>
      </c>
      <c r="F10" t="s">
        <v>20</v>
      </c>
      <c r="H10" t="s">
        <v>65</v>
      </c>
      <c r="I10" t="s">
        <v>66</v>
      </c>
      <c r="J10" s="4">
        <v>1</v>
      </c>
      <c r="K10">
        <v>0</v>
      </c>
      <c r="L10">
        <f t="shared" si="0"/>
        <v>0</v>
      </c>
      <c r="M10" t="s">
        <v>67</v>
      </c>
      <c r="N10">
        <v>1</v>
      </c>
      <c r="O10">
        <v>0</v>
      </c>
      <c r="P10">
        <f t="shared" si="1"/>
        <v>0</v>
      </c>
      <c r="Q10" t="s">
        <v>68</v>
      </c>
    </row>
    <row r="11" spans="1:17">
      <c r="A11" t="s">
        <v>69</v>
      </c>
      <c r="C11" t="s">
        <v>70</v>
      </c>
      <c r="D11" t="s">
        <v>71</v>
      </c>
      <c r="E11" t="s">
        <v>72</v>
      </c>
      <c r="F11" t="s">
        <v>34</v>
      </c>
      <c r="G11" t="s">
        <v>73</v>
      </c>
      <c r="H11" s="2" t="s">
        <v>69</v>
      </c>
      <c r="J11">
        <v>0</v>
      </c>
      <c r="K11">
        <v>0</v>
      </c>
      <c r="L11">
        <f t="shared" si="0"/>
        <v>1</v>
      </c>
      <c r="N11">
        <v>1</v>
      </c>
      <c r="O11">
        <v>0</v>
      </c>
      <c r="P11">
        <f t="shared" si="1"/>
        <v>0</v>
      </c>
      <c r="Q11" t="s">
        <v>74</v>
      </c>
    </row>
    <row r="12" spans="1:17">
      <c r="A12" t="s">
        <v>75</v>
      </c>
      <c r="C12" t="s">
        <v>76</v>
      </c>
      <c r="D12" t="s">
        <v>77</v>
      </c>
      <c r="E12" t="s">
        <v>78</v>
      </c>
      <c r="F12" t="s">
        <v>34</v>
      </c>
      <c r="G12" t="s">
        <v>73</v>
      </c>
      <c r="H12" s="2" t="s">
        <v>75</v>
      </c>
      <c r="J12">
        <v>1</v>
      </c>
      <c r="K12">
        <v>0</v>
      </c>
      <c r="L12">
        <f t="shared" si="0"/>
        <v>0</v>
      </c>
      <c r="N12">
        <v>0</v>
      </c>
      <c r="O12">
        <v>0</v>
      </c>
      <c r="P12">
        <f t="shared" si="1"/>
        <v>1</v>
      </c>
      <c r="Q12" t="s">
        <v>79</v>
      </c>
    </row>
    <row r="13" spans="1:17">
      <c r="A13" t="s">
        <v>80</v>
      </c>
      <c r="C13" t="s">
        <v>81</v>
      </c>
      <c r="D13" t="s">
        <v>82</v>
      </c>
      <c r="E13" s="6" t="s">
        <v>83</v>
      </c>
      <c r="F13" t="s">
        <v>34</v>
      </c>
      <c r="G13" t="s">
        <v>35</v>
      </c>
      <c r="H13" t="s">
        <v>80</v>
      </c>
      <c r="J13">
        <v>1</v>
      </c>
      <c r="K13">
        <v>0</v>
      </c>
      <c r="L13">
        <f t="shared" si="0"/>
        <v>0</v>
      </c>
      <c r="N13">
        <v>1</v>
      </c>
      <c r="O13">
        <v>0</v>
      </c>
      <c r="P13">
        <f t="shared" si="1"/>
        <v>0</v>
      </c>
      <c r="Q13" t="s">
        <v>84</v>
      </c>
    </row>
    <row r="14" ht="43.2" spans="1:17">
      <c r="A14" t="s">
        <v>85</v>
      </c>
      <c r="B14" t="s">
        <v>86</v>
      </c>
      <c r="C14" t="s">
        <v>87</v>
      </c>
      <c r="D14" t="s">
        <v>88</v>
      </c>
      <c r="E14" s="6" t="s">
        <v>89</v>
      </c>
      <c r="F14" t="s">
        <v>20</v>
      </c>
      <c r="H14" t="s">
        <v>85</v>
      </c>
      <c r="J14" s="4">
        <v>1</v>
      </c>
      <c r="K14">
        <v>3</v>
      </c>
      <c r="L14">
        <f t="shared" si="0"/>
        <v>0</v>
      </c>
      <c r="N14">
        <v>0</v>
      </c>
      <c r="O14">
        <v>1</v>
      </c>
      <c r="P14">
        <f t="shared" si="1"/>
        <v>1</v>
      </c>
      <c r="Q14" s="4" t="s">
        <v>90</v>
      </c>
    </row>
    <row r="15" spans="1:17">
      <c r="A15" t="s">
        <v>91</v>
      </c>
      <c r="B15" t="s">
        <v>92</v>
      </c>
      <c r="C15" t="s">
        <v>93</v>
      </c>
      <c r="E15" t="s">
        <v>94</v>
      </c>
      <c r="F15" t="s">
        <v>20</v>
      </c>
      <c r="H15" t="s">
        <v>95</v>
      </c>
      <c r="I15" t="s">
        <v>96</v>
      </c>
      <c r="J15">
        <v>0</v>
      </c>
      <c r="K15">
        <v>0</v>
      </c>
      <c r="L15">
        <f t="shared" si="0"/>
        <v>1</v>
      </c>
      <c r="M15" t="s">
        <v>67</v>
      </c>
      <c r="N15">
        <v>0</v>
      </c>
      <c r="O15">
        <v>0</v>
      </c>
      <c r="P15">
        <f t="shared" si="1"/>
        <v>1</v>
      </c>
    </row>
    <row r="16" spans="1:17">
      <c r="A16" t="s">
        <v>97</v>
      </c>
      <c r="B16" t="s">
        <v>98</v>
      </c>
      <c r="C16" t="s">
        <v>99</v>
      </c>
      <c r="E16" t="s">
        <v>100</v>
      </c>
      <c r="F16" t="s">
        <v>20</v>
      </c>
      <c r="H16" t="s">
        <v>101</v>
      </c>
      <c r="J16">
        <v>0</v>
      </c>
      <c r="K16">
        <v>0</v>
      </c>
      <c r="L16">
        <f t="shared" si="0"/>
        <v>1</v>
      </c>
      <c r="N16">
        <v>0</v>
      </c>
      <c r="O16">
        <v>0</v>
      </c>
      <c r="P16">
        <f t="shared" si="1"/>
        <v>1</v>
      </c>
    </row>
    <row r="17" spans="1:17">
      <c r="A17" t="s">
        <v>102</v>
      </c>
      <c r="B17" t="s">
        <v>103</v>
      </c>
      <c r="C17" t="s">
        <v>87</v>
      </c>
      <c r="D17" t="s">
        <v>104</v>
      </c>
      <c r="E17" s="6" t="s">
        <v>105</v>
      </c>
      <c r="F17" t="s">
        <v>20</v>
      </c>
      <c r="H17" t="s">
        <v>106</v>
      </c>
      <c r="I17" t="s">
        <v>107</v>
      </c>
      <c r="J17">
        <v>0</v>
      </c>
      <c r="K17">
        <v>0</v>
      </c>
      <c r="L17">
        <f t="shared" si="0"/>
        <v>1</v>
      </c>
      <c r="N17">
        <v>1</v>
      </c>
      <c r="O17">
        <v>0</v>
      </c>
      <c r="P17">
        <f t="shared" si="1"/>
        <v>0</v>
      </c>
      <c r="Q17" t="s">
        <v>108</v>
      </c>
    </row>
    <row r="18" ht="115.2" spans="1:17">
      <c r="A18" t="s">
        <v>109</v>
      </c>
      <c r="B18" t="s">
        <v>110</v>
      </c>
      <c r="C18" t="s">
        <v>111</v>
      </c>
      <c r="D18" t="s">
        <v>112</v>
      </c>
      <c r="E18" t="s">
        <v>113</v>
      </c>
      <c r="F18" t="s">
        <v>34</v>
      </c>
      <c r="G18" t="s">
        <v>114</v>
      </c>
      <c r="H18" s="2" t="s">
        <v>109</v>
      </c>
      <c r="J18">
        <v>0</v>
      </c>
      <c r="K18">
        <v>0</v>
      </c>
      <c r="L18">
        <f t="shared" si="0"/>
        <v>1</v>
      </c>
      <c r="N18">
        <v>0</v>
      </c>
      <c r="O18">
        <v>1</v>
      </c>
      <c r="P18">
        <f t="shared" si="1"/>
        <v>1</v>
      </c>
      <c r="Q18" s="4" t="s">
        <v>115</v>
      </c>
    </row>
    <row r="19" spans="1:17">
      <c r="A19" t="s">
        <v>116</v>
      </c>
      <c r="B19" t="s">
        <v>117</v>
      </c>
      <c r="C19" t="s">
        <v>118</v>
      </c>
      <c r="D19" t="s">
        <v>119</v>
      </c>
      <c r="E19" t="s">
        <v>120</v>
      </c>
      <c r="F19" t="s">
        <v>20</v>
      </c>
      <c r="H19" t="s">
        <v>121</v>
      </c>
      <c r="J19">
        <v>0</v>
      </c>
      <c r="K19">
        <v>0</v>
      </c>
      <c r="L19">
        <f t="shared" si="0"/>
        <v>1</v>
      </c>
      <c r="N19">
        <v>1</v>
      </c>
      <c r="O19">
        <v>0</v>
      </c>
      <c r="P19">
        <f t="shared" si="1"/>
        <v>0</v>
      </c>
      <c r="Q19" t="s">
        <v>122</v>
      </c>
    </row>
    <row r="20" ht="187.2" spans="1:17">
      <c r="A20" t="s">
        <v>123</v>
      </c>
      <c r="B20" t="s">
        <v>124</v>
      </c>
      <c r="C20" t="s">
        <v>125</v>
      </c>
      <c r="E20" t="s">
        <v>126</v>
      </c>
      <c r="F20" t="s">
        <v>20</v>
      </c>
      <c r="H20" t="s">
        <v>123</v>
      </c>
      <c r="J20">
        <v>0</v>
      </c>
      <c r="K20">
        <v>0</v>
      </c>
      <c r="L20">
        <f t="shared" si="0"/>
        <v>1</v>
      </c>
      <c r="N20">
        <v>0</v>
      </c>
      <c r="O20">
        <v>2</v>
      </c>
      <c r="P20">
        <f t="shared" si="1"/>
        <v>1</v>
      </c>
      <c r="Q20" s="4" t="s">
        <v>127</v>
      </c>
    </row>
    <row r="21" ht="100.8" spans="1:17">
      <c r="A21" t="s">
        <v>128</v>
      </c>
      <c r="B21" t="s">
        <v>129</v>
      </c>
      <c r="C21" t="s">
        <v>130</v>
      </c>
      <c r="D21" t="s">
        <v>131</v>
      </c>
      <c r="E21" t="s">
        <v>132</v>
      </c>
      <c r="F21" t="s">
        <v>20</v>
      </c>
      <c r="H21" t="s">
        <v>133</v>
      </c>
      <c r="I21" t="s">
        <v>134</v>
      </c>
      <c r="J21">
        <v>0</v>
      </c>
      <c r="K21">
        <v>0</v>
      </c>
      <c r="L21">
        <f t="shared" si="0"/>
        <v>1</v>
      </c>
      <c r="N21">
        <v>0</v>
      </c>
      <c r="O21">
        <v>1</v>
      </c>
      <c r="P21">
        <f t="shared" si="1"/>
        <v>1</v>
      </c>
      <c r="Q21" s="4" t="s">
        <v>135</v>
      </c>
    </row>
    <row r="22" spans="1:17">
      <c r="A22" t="s">
        <v>136</v>
      </c>
      <c r="B22" t="s">
        <v>137</v>
      </c>
      <c r="C22" t="s">
        <v>138</v>
      </c>
      <c r="E22" t="s">
        <v>139</v>
      </c>
      <c r="F22" t="s">
        <v>20</v>
      </c>
      <c r="H22" t="s">
        <v>136</v>
      </c>
      <c r="J22">
        <v>0</v>
      </c>
      <c r="K22">
        <v>0</v>
      </c>
      <c r="L22">
        <f t="shared" si="0"/>
        <v>1</v>
      </c>
      <c r="N22">
        <v>1</v>
      </c>
      <c r="O22">
        <v>0</v>
      </c>
      <c r="P22">
        <f t="shared" si="1"/>
        <v>0</v>
      </c>
      <c r="Q22" t="s">
        <v>140</v>
      </c>
    </row>
    <row r="23" spans="1:17">
      <c r="A23" t="s">
        <v>141</v>
      </c>
      <c r="B23" t="s">
        <v>142</v>
      </c>
      <c r="C23" t="s">
        <v>143</v>
      </c>
      <c r="E23" s="6" t="s">
        <v>144</v>
      </c>
      <c r="F23" t="s">
        <v>20</v>
      </c>
      <c r="H23" t="s">
        <v>141</v>
      </c>
      <c r="J23">
        <v>0</v>
      </c>
      <c r="K23">
        <v>0</v>
      </c>
      <c r="L23">
        <f t="shared" si="0"/>
        <v>1</v>
      </c>
      <c r="N23">
        <v>0</v>
      </c>
      <c r="O23">
        <v>0</v>
      </c>
      <c r="P23">
        <f t="shared" si="1"/>
        <v>1</v>
      </c>
    </row>
    <row r="24" ht="86.4" spans="1:17">
      <c r="A24" t="s">
        <v>145</v>
      </c>
      <c r="B24" t="s">
        <v>146</v>
      </c>
      <c r="C24" t="s">
        <v>147</v>
      </c>
      <c r="D24" t="s">
        <v>148</v>
      </c>
      <c r="E24" t="s">
        <v>149</v>
      </c>
      <c r="F24" t="s">
        <v>20</v>
      </c>
      <c r="H24" t="s">
        <v>145</v>
      </c>
      <c r="J24">
        <v>0</v>
      </c>
      <c r="K24">
        <v>0</v>
      </c>
      <c r="L24">
        <f t="shared" si="0"/>
        <v>1</v>
      </c>
      <c r="N24">
        <v>0</v>
      </c>
      <c r="O24">
        <v>1</v>
      </c>
      <c r="P24">
        <f t="shared" si="1"/>
        <v>1</v>
      </c>
      <c r="Q24" s="4" t="s">
        <v>150</v>
      </c>
    </row>
    <row r="25" spans="1:17">
      <c r="A25" t="s">
        <v>151</v>
      </c>
      <c r="B25" t="s">
        <v>152</v>
      </c>
      <c r="C25" t="s">
        <v>153</v>
      </c>
      <c r="D25" t="s">
        <v>154</v>
      </c>
      <c r="E25" t="s">
        <v>155</v>
      </c>
      <c r="F25" t="s">
        <v>20</v>
      </c>
      <c r="H25" t="s">
        <v>151</v>
      </c>
      <c r="J25">
        <v>0</v>
      </c>
      <c r="K25">
        <v>0</v>
      </c>
      <c r="L25">
        <f t="shared" si="0"/>
        <v>1</v>
      </c>
      <c r="N25">
        <v>0</v>
      </c>
      <c r="O25">
        <v>0</v>
      </c>
      <c r="P25">
        <f t="shared" si="1"/>
        <v>1</v>
      </c>
    </row>
    <row r="26" spans="1:17">
      <c r="A26" t="s">
        <v>156</v>
      </c>
      <c r="B26" t="s">
        <v>157</v>
      </c>
      <c r="C26" t="s">
        <v>158</v>
      </c>
      <c r="D26" t="s">
        <v>159</v>
      </c>
      <c r="E26" t="s">
        <v>160</v>
      </c>
      <c r="F26" t="s">
        <v>20</v>
      </c>
      <c r="H26" t="s">
        <v>161</v>
      </c>
      <c r="I26" t="s">
        <v>162</v>
      </c>
      <c r="J26" s="4">
        <v>1</v>
      </c>
      <c r="K26">
        <v>2</v>
      </c>
      <c r="L26">
        <f t="shared" si="0"/>
        <v>0</v>
      </c>
      <c r="N26">
        <v>0</v>
      </c>
      <c r="O26">
        <v>0</v>
      </c>
      <c r="P26">
        <f t="shared" si="1"/>
        <v>1</v>
      </c>
      <c r="Q26" t="s">
        <v>163</v>
      </c>
    </row>
    <row r="27" spans="1:17">
      <c r="A27" t="s">
        <v>164</v>
      </c>
      <c r="B27" t="s">
        <v>165</v>
      </c>
      <c r="C27" t="s">
        <v>166</v>
      </c>
      <c r="D27" t="s">
        <v>167</v>
      </c>
      <c r="E27" s="6" t="s">
        <v>168</v>
      </c>
      <c r="F27" t="s">
        <v>20</v>
      </c>
      <c r="H27" t="s">
        <v>169</v>
      </c>
      <c r="J27">
        <v>0</v>
      </c>
      <c r="K27">
        <v>0</v>
      </c>
      <c r="L27">
        <f t="shared" si="0"/>
        <v>1</v>
      </c>
      <c r="P27">
        <f t="shared" si="1"/>
        <v>1</v>
      </c>
      <c r="Q27" t="s">
        <v>170</v>
      </c>
    </row>
    <row r="28" ht="57.6" spans="1:17">
      <c r="A28" t="s">
        <v>171</v>
      </c>
      <c r="B28" t="s">
        <v>172</v>
      </c>
      <c r="C28" t="s">
        <v>173</v>
      </c>
      <c r="D28" t="s">
        <v>174</v>
      </c>
      <c r="E28" t="s">
        <v>175</v>
      </c>
      <c r="F28" s="4" t="s">
        <v>176</v>
      </c>
      <c r="H28" t="s">
        <v>171</v>
      </c>
      <c r="J28">
        <v>0</v>
      </c>
      <c r="K28">
        <v>0</v>
      </c>
      <c r="L28">
        <f t="shared" si="0"/>
        <v>1</v>
      </c>
      <c r="N28">
        <v>1</v>
      </c>
      <c r="O28">
        <v>0</v>
      </c>
      <c r="P28">
        <f t="shared" si="1"/>
        <v>0</v>
      </c>
      <c r="Q28" t="s">
        <v>177</v>
      </c>
    </row>
    <row r="29" spans="1:17">
      <c r="A29" t="s">
        <v>178</v>
      </c>
      <c r="B29" t="s">
        <v>179</v>
      </c>
      <c r="C29" t="s">
        <v>147</v>
      </c>
      <c r="D29" t="s">
        <v>180</v>
      </c>
      <c r="E29" t="s">
        <v>181</v>
      </c>
      <c r="F29" t="s">
        <v>20</v>
      </c>
      <c r="H29" t="s">
        <v>178</v>
      </c>
      <c r="J29">
        <v>0</v>
      </c>
      <c r="K29">
        <v>0</v>
      </c>
      <c r="L29">
        <f t="shared" si="0"/>
        <v>1</v>
      </c>
      <c r="N29">
        <v>0</v>
      </c>
      <c r="O29">
        <v>0</v>
      </c>
      <c r="P29">
        <f t="shared" si="1"/>
        <v>1</v>
      </c>
      <c r="Q29" t="s">
        <v>182</v>
      </c>
    </row>
    <row r="30" spans="1:17">
      <c r="A30" t="s">
        <v>183</v>
      </c>
      <c r="B30" t="s">
        <v>184</v>
      </c>
      <c r="C30" t="s">
        <v>185</v>
      </c>
      <c r="D30" t="s">
        <v>186</v>
      </c>
      <c r="E30" s="6" t="s">
        <v>187</v>
      </c>
      <c r="F30" t="s">
        <v>20</v>
      </c>
      <c r="H30" t="s">
        <v>188</v>
      </c>
      <c r="I30" t="s">
        <v>189</v>
      </c>
      <c r="J30" s="4">
        <v>0</v>
      </c>
      <c r="K30">
        <v>0</v>
      </c>
      <c r="L30">
        <f t="shared" si="0"/>
        <v>1</v>
      </c>
      <c r="M30" t="s">
        <v>67</v>
      </c>
      <c r="N30">
        <v>0</v>
      </c>
      <c r="O30">
        <v>0</v>
      </c>
      <c r="P30">
        <f t="shared" si="1"/>
        <v>1</v>
      </c>
      <c r="Q30" t="s">
        <v>190</v>
      </c>
    </row>
    <row r="31" ht="43.2" spans="1:17">
      <c r="A31" t="s">
        <v>191</v>
      </c>
      <c r="B31" t="s">
        <v>192</v>
      </c>
      <c r="C31" t="s">
        <v>185</v>
      </c>
      <c r="D31" t="s">
        <v>186</v>
      </c>
      <c r="E31" t="s">
        <v>187</v>
      </c>
      <c r="F31" t="s">
        <v>20</v>
      </c>
      <c r="H31" t="s">
        <v>193</v>
      </c>
      <c r="I31" t="s">
        <v>194</v>
      </c>
      <c r="J31" s="4">
        <v>0</v>
      </c>
      <c r="K31">
        <v>0</v>
      </c>
      <c r="L31">
        <f t="shared" si="0"/>
        <v>1</v>
      </c>
      <c r="M31" t="s">
        <v>67</v>
      </c>
      <c r="N31">
        <v>0</v>
      </c>
      <c r="O31">
        <v>1</v>
      </c>
      <c r="P31">
        <f t="shared" si="1"/>
        <v>1</v>
      </c>
      <c r="Q31" s="4" t="s">
        <v>195</v>
      </c>
    </row>
    <row r="32" ht="57.6" spans="1:17">
      <c r="A32" t="s">
        <v>196</v>
      </c>
      <c r="C32" t="s">
        <v>197</v>
      </c>
      <c r="E32" s="6" t="s">
        <v>198</v>
      </c>
      <c r="F32" s="4" t="s">
        <v>199</v>
      </c>
      <c r="H32" t="s">
        <v>200</v>
      </c>
      <c r="J32">
        <v>0</v>
      </c>
      <c r="K32">
        <v>0</v>
      </c>
      <c r="L32">
        <f t="shared" si="0"/>
        <v>1</v>
      </c>
      <c r="N32">
        <v>0</v>
      </c>
      <c r="O32">
        <v>0</v>
      </c>
      <c r="P32">
        <f t="shared" si="1"/>
        <v>1</v>
      </c>
      <c r="Q32" t="s">
        <v>201</v>
      </c>
    </row>
    <row r="33" spans="1:17">
      <c r="A33" t="s">
        <v>202</v>
      </c>
      <c r="B33" t="s">
        <v>203</v>
      </c>
      <c r="C33" t="s">
        <v>204</v>
      </c>
      <c r="D33" t="s">
        <v>205</v>
      </c>
      <c r="E33" s="6" t="s">
        <v>206</v>
      </c>
      <c r="F33" t="s">
        <v>20</v>
      </c>
      <c r="H33" t="s">
        <v>207</v>
      </c>
      <c r="I33" t="s">
        <v>208</v>
      </c>
      <c r="J33" s="4">
        <v>1</v>
      </c>
      <c r="K33">
        <v>1</v>
      </c>
      <c r="L33">
        <f t="shared" si="0"/>
        <v>0</v>
      </c>
      <c r="N33">
        <v>0</v>
      </c>
      <c r="O33">
        <v>0</v>
      </c>
      <c r="P33">
        <f t="shared" si="1"/>
        <v>1</v>
      </c>
    </row>
    <row r="34" ht="100.8" spans="1:17">
      <c r="A34" t="s">
        <v>209</v>
      </c>
      <c r="B34" t="s">
        <v>210</v>
      </c>
      <c r="C34" t="s">
        <v>211</v>
      </c>
      <c r="D34" t="s">
        <v>212</v>
      </c>
      <c r="E34" t="s">
        <v>213</v>
      </c>
      <c r="F34" s="4" t="s">
        <v>214</v>
      </c>
      <c r="H34" t="s">
        <v>215</v>
      </c>
      <c r="I34" t="s">
        <v>216</v>
      </c>
      <c r="J34">
        <v>0</v>
      </c>
      <c r="K34">
        <v>0</v>
      </c>
      <c r="L34">
        <f t="shared" si="0"/>
        <v>1</v>
      </c>
      <c r="N34">
        <v>0</v>
      </c>
      <c r="O34">
        <v>0</v>
      </c>
      <c r="P34">
        <f t="shared" si="1"/>
        <v>1</v>
      </c>
      <c r="Q34" t="s">
        <v>217</v>
      </c>
    </row>
    <row r="35" spans="1:17">
      <c r="A35" t="s">
        <v>218</v>
      </c>
      <c r="C35" t="s">
        <v>219</v>
      </c>
      <c r="D35" t="s">
        <v>220</v>
      </c>
      <c r="E35" t="s">
        <v>221</v>
      </c>
      <c r="F35" t="s">
        <v>20</v>
      </c>
      <c r="H35" t="s">
        <v>222</v>
      </c>
      <c r="I35" t="s">
        <v>223</v>
      </c>
      <c r="J35">
        <v>0</v>
      </c>
      <c r="K35">
        <v>0</v>
      </c>
      <c r="L35">
        <f t="shared" si="0"/>
        <v>1</v>
      </c>
      <c r="N35">
        <v>0</v>
      </c>
      <c r="O35">
        <v>0</v>
      </c>
      <c r="P35">
        <f t="shared" si="1"/>
        <v>1</v>
      </c>
      <c r="Q35" t="s">
        <v>224</v>
      </c>
    </row>
    <row r="36" ht="43.2" spans="1:17">
      <c r="A36" t="s">
        <v>225</v>
      </c>
      <c r="B36" t="s">
        <v>226</v>
      </c>
      <c r="C36" t="s">
        <v>227</v>
      </c>
      <c r="D36" t="s">
        <v>228</v>
      </c>
      <c r="E36" t="s">
        <v>229</v>
      </c>
      <c r="F36" t="s">
        <v>20</v>
      </c>
      <c r="H36" t="s">
        <v>230</v>
      </c>
      <c r="I36" t="s">
        <v>231</v>
      </c>
      <c r="J36" s="4">
        <v>0</v>
      </c>
      <c r="K36">
        <v>0</v>
      </c>
      <c r="L36">
        <f t="shared" ref="L36:L69" si="2">1-J36</f>
        <v>1</v>
      </c>
      <c r="M36" s="4" t="s">
        <v>232</v>
      </c>
      <c r="N36">
        <v>0</v>
      </c>
      <c r="O36">
        <v>0</v>
      </c>
      <c r="P36">
        <f t="shared" ref="P36:P69" si="3">1-N36</f>
        <v>1</v>
      </c>
    </row>
    <row r="37" spans="1:17">
      <c r="A37" t="s">
        <v>233</v>
      </c>
      <c r="C37" t="s">
        <v>234</v>
      </c>
      <c r="D37" t="s">
        <v>235</v>
      </c>
      <c r="F37" t="s">
        <v>34</v>
      </c>
      <c r="G37" t="s">
        <v>236</v>
      </c>
      <c r="H37" s="2" t="s">
        <v>233</v>
      </c>
      <c r="J37">
        <v>1</v>
      </c>
      <c r="K37">
        <v>0</v>
      </c>
      <c r="L37">
        <f t="shared" si="2"/>
        <v>0</v>
      </c>
      <c r="N37">
        <v>1</v>
      </c>
      <c r="O37">
        <v>0</v>
      </c>
      <c r="P37">
        <f t="shared" si="3"/>
        <v>0</v>
      </c>
      <c r="Q37" t="s">
        <v>237</v>
      </c>
    </row>
    <row r="38" spans="1:17">
      <c r="A38" t="s">
        <v>238</v>
      </c>
      <c r="C38" t="s">
        <v>138</v>
      </c>
      <c r="D38" t="s">
        <v>239</v>
      </c>
      <c r="F38" t="s">
        <v>34</v>
      </c>
      <c r="G38" t="s">
        <v>236</v>
      </c>
      <c r="H38" s="2" t="s">
        <v>238</v>
      </c>
      <c r="J38">
        <v>1</v>
      </c>
      <c r="K38">
        <v>0</v>
      </c>
      <c r="L38">
        <f t="shared" si="2"/>
        <v>0</v>
      </c>
      <c r="N38">
        <v>1</v>
      </c>
      <c r="O38">
        <v>0</v>
      </c>
      <c r="P38">
        <f t="shared" si="3"/>
        <v>0</v>
      </c>
      <c r="Q38" t="s">
        <v>240</v>
      </c>
    </row>
    <row r="39" spans="1:17">
      <c r="A39" t="s">
        <v>241</v>
      </c>
      <c r="C39" t="s">
        <v>242</v>
      </c>
      <c r="D39" t="s">
        <v>243</v>
      </c>
      <c r="E39" s="6" t="s">
        <v>244</v>
      </c>
      <c r="F39" t="s">
        <v>34</v>
      </c>
      <c r="G39" t="s">
        <v>236</v>
      </c>
      <c r="H39" s="2" t="s">
        <v>241</v>
      </c>
      <c r="J39">
        <v>1</v>
      </c>
      <c r="K39">
        <v>0</v>
      </c>
      <c r="L39">
        <f t="shared" si="2"/>
        <v>0</v>
      </c>
      <c r="N39">
        <v>1</v>
      </c>
      <c r="O39">
        <v>0</v>
      </c>
      <c r="P39">
        <f t="shared" si="3"/>
        <v>0</v>
      </c>
      <c r="Q39" t="s">
        <v>245</v>
      </c>
    </row>
    <row r="40" ht="100.8" spans="1:17">
      <c r="A40" t="s">
        <v>246</v>
      </c>
      <c r="B40" t="s">
        <v>247</v>
      </c>
      <c r="C40" t="s">
        <v>87</v>
      </c>
      <c r="D40" t="s">
        <v>248</v>
      </c>
      <c r="E40" s="6" t="s">
        <v>249</v>
      </c>
      <c r="F40" t="s">
        <v>34</v>
      </c>
      <c r="H40" t="s">
        <v>246</v>
      </c>
      <c r="J40">
        <v>1</v>
      </c>
      <c r="K40">
        <v>0</v>
      </c>
      <c r="L40">
        <f t="shared" si="2"/>
        <v>0</v>
      </c>
      <c r="N40">
        <v>0</v>
      </c>
      <c r="O40">
        <v>1</v>
      </c>
      <c r="P40">
        <f t="shared" si="3"/>
        <v>1</v>
      </c>
      <c r="Q40" s="4" t="s">
        <v>250</v>
      </c>
    </row>
    <row r="41" ht="28.8" spans="1:17">
      <c r="A41" t="s">
        <v>251</v>
      </c>
      <c r="B41" t="s">
        <v>252</v>
      </c>
      <c r="C41" t="s">
        <v>253</v>
      </c>
      <c r="D41" t="s">
        <v>254</v>
      </c>
      <c r="E41" s="6" t="s">
        <v>255</v>
      </c>
      <c r="F41" t="s">
        <v>34</v>
      </c>
      <c r="G41" s="4" t="s">
        <v>256</v>
      </c>
      <c r="H41" s="2" t="s">
        <v>251</v>
      </c>
      <c r="J41">
        <v>0</v>
      </c>
      <c r="K41">
        <v>0</v>
      </c>
      <c r="L41">
        <f t="shared" si="2"/>
        <v>1</v>
      </c>
      <c r="N41">
        <v>1</v>
      </c>
      <c r="O41">
        <v>0</v>
      </c>
      <c r="P41">
        <f t="shared" si="3"/>
        <v>0</v>
      </c>
      <c r="Q41" t="s">
        <v>257</v>
      </c>
    </row>
    <row r="42" spans="1:17">
      <c r="A42" t="s">
        <v>258</v>
      </c>
      <c r="B42" t="s">
        <v>259</v>
      </c>
      <c r="C42" t="s">
        <v>260</v>
      </c>
      <c r="D42" t="s">
        <v>261</v>
      </c>
      <c r="E42" s="5" t="s">
        <v>262</v>
      </c>
      <c r="F42" t="s">
        <v>34</v>
      </c>
      <c r="G42" t="s">
        <v>48</v>
      </c>
      <c r="H42" s="2" t="s">
        <v>258</v>
      </c>
      <c r="J42">
        <v>0</v>
      </c>
      <c r="K42">
        <v>0</v>
      </c>
      <c r="L42">
        <f t="shared" si="2"/>
        <v>1</v>
      </c>
      <c r="N42">
        <v>1</v>
      </c>
      <c r="O42">
        <v>0</v>
      </c>
      <c r="P42">
        <f t="shared" si="3"/>
        <v>0</v>
      </c>
      <c r="Q42" t="s">
        <v>263</v>
      </c>
    </row>
    <row r="43" spans="1:17">
      <c r="A43" t="s">
        <v>264</v>
      </c>
      <c r="B43" t="s">
        <v>265</v>
      </c>
      <c r="C43" t="s">
        <v>266</v>
      </c>
      <c r="D43" t="s">
        <v>267</v>
      </c>
      <c r="E43" t="s">
        <v>268</v>
      </c>
      <c r="F43" t="s">
        <v>34</v>
      </c>
      <c r="G43" t="s">
        <v>48</v>
      </c>
      <c r="H43" s="2" t="s">
        <v>264</v>
      </c>
      <c r="J43" s="4">
        <v>1</v>
      </c>
      <c r="K43">
        <v>0</v>
      </c>
      <c r="L43">
        <f t="shared" si="2"/>
        <v>0</v>
      </c>
      <c r="N43">
        <v>0</v>
      </c>
      <c r="O43">
        <v>0</v>
      </c>
      <c r="P43">
        <f t="shared" si="3"/>
        <v>1</v>
      </c>
    </row>
    <row r="44" spans="1:17">
      <c r="A44" t="s">
        <v>269</v>
      </c>
      <c r="B44" t="s">
        <v>270</v>
      </c>
      <c r="C44" t="s">
        <v>271</v>
      </c>
      <c r="D44" t="s">
        <v>272</v>
      </c>
      <c r="E44" t="s">
        <v>273</v>
      </c>
      <c r="F44" t="s">
        <v>34</v>
      </c>
      <c r="G44" s="2" t="s">
        <v>48</v>
      </c>
      <c r="H44" s="2" t="s">
        <v>269</v>
      </c>
      <c r="J44" s="4">
        <v>0</v>
      </c>
      <c r="K44">
        <v>0</v>
      </c>
      <c r="L44">
        <f t="shared" si="2"/>
        <v>1</v>
      </c>
      <c r="M44" t="s">
        <v>67</v>
      </c>
      <c r="N44">
        <v>0</v>
      </c>
      <c r="O44">
        <v>0</v>
      </c>
      <c r="P44">
        <f t="shared" si="3"/>
        <v>1</v>
      </c>
      <c r="Q44" t="s">
        <v>274</v>
      </c>
    </row>
    <row r="45" spans="1:17">
      <c r="A45" t="s">
        <v>269</v>
      </c>
      <c r="B45" t="s">
        <v>270</v>
      </c>
      <c r="C45" t="s">
        <v>275</v>
      </c>
      <c r="D45" t="s">
        <v>276</v>
      </c>
      <c r="E45" t="s">
        <v>277</v>
      </c>
      <c r="F45" t="s">
        <v>34</v>
      </c>
      <c r="G45" s="2"/>
      <c r="J45" s="4">
        <v>0</v>
      </c>
      <c r="K45">
        <v>0</v>
      </c>
      <c r="L45">
        <f t="shared" si="2"/>
        <v>1</v>
      </c>
      <c r="N45">
        <v>1</v>
      </c>
      <c r="O45">
        <v>0</v>
      </c>
      <c r="P45">
        <f t="shared" si="3"/>
        <v>0</v>
      </c>
      <c r="Q45" t="s">
        <v>278</v>
      </c>
    </row>
    <row r="46" spans="1:17">
      <c r="A46" t="s">
        <v>269</v>
      </c>
      <c r="B46" t="s">
        <v>270</v>
      </c>
      <c r="C46" t="s">
        <v>279</v>
      </c>
      <c r="D46" t="s">
        <v>280</v>
      </c>
      <c r="E46" t="s">
        <v>281</v>
      </c>
      <c r="F46" t="s">
        <v>34</v>
      </c>
      <c r="G46" s="2"/>
      <c r="J46" s="4">
        <v>1</v>
      </c>
      <c r="K46">
        <v>0</v>
      </c>
      <c r="L46">
        <f t="shared" si="2"/>
        <v>0</v>
      </c>
      <c r="N46">
        <v>0</v>
      </c>
      <c r="O46">
        <v>0</v>
      </c>
      <c r="P46">
        <f t="shared" si="3"/>
        <v>1</v>
      </c>
    </row>
    <row r="47" spans="1:17">
      <c r="A47" t="s">
        <v>269</v>
      </c>
      <c r="B47" t="s">
        <v>270</v>
      </c>
      <c r="C47" t="s">
        <v>282</v>
      </c>
      <c r="D47" t="s">
        <v>283</v>
      </c>
      <c r="E47" t="s">
        <v>284</v>
      </c>
      <c r="F47" t="s">
        <v>34</v>
      </c>
      <c r="G47" s="2"/>
      <c r="J47" s="4">
        <v>0</v>
      </c>
      <c r="K47">
        <v>0</v>
      </c>
      <c r="L47">
        <f t="shared" si="2"/>
        <v>1</v>
      </c>
      <c r="N47">
        <v>0</v>
      </c>
      <c r="O47">
        <v>0</v>
      </c>
      <c r="P47">
        <f t="shared" si="3"/>
        <v>1</v>
      </c>
    </row>
    <row r="48" spans="1:17">
      <c r="A48" t="s">
        <v>285</v>
      </c>
      <c r="B48" t="s">
        <v>286</v>
      </c>
      <c r="C48" t="s">
        <v>204</v>
      </c>
      <c r="D48" t="s">
        <v>287</v>
      </c>
      <c r="E48" s="6" t="s">
        <v>288</v>
      </c>
      <c r="F48" t="s">
        <v>34</v>
      </c>
      <c r="G48" t="s">
        <v>48</v>
      </c>
      <c r="H48" s="2" t="s">
        <v>285</v>
      </c>
      <c r="J48">
        <v>1</v>
      </c>
      <c r="K48">
        <v>0</v>
      </c>
      <c r="L48">
        <f t="shared" si="2"/>
        <v>0</v>
      </c>
      <c r="N48">
        <v>0</v>
      </c>
      <c r="O48">
        <v>0</v>
      </c>
      <c r="P48">
        <f t="shared" si="3"/>
        <v>1</v>
      </c>
    </row>
    <row r="49" spans="1:17">
      <c r="A49" t="s">
        <v>289</v>
      </c>
      <c r="B49" t="s">
        <v>290</v>
      </c>
      <c r="C49" t="s">
        <v>291</v>
      </c>
      <c r="D49" t="s">
        <v>292</v>
      </c>
      <c r="E49" t="s">
        <v>293</v>
      </c>
      <c r="F49" t="s">
        <v>20</v>
      </c>
      <c r="H49" t="s">
        <v>294</v>
      </c>
      <c r="J49">
        <v>0</v>
      </c>
      <c r="K49">
        <v>0</v>
      </c>
      <c r="L49">
        <f t="shared" si="2"/>
        <v>1</v>
      </c>
      <c r="N49">
        <v>1</v>
      </c>
      <c r="O49">
        <v>0</v>
      </c>
      <c r="P49">
        <f t="shared" si="3"/>
        <v>0</v>
      </c>
      <c r="Q49" t="s">
        <v>295</v>
      </c>
    </row>
    <row r="50" spans="1:17">
      <c r="A50" t="s">
        <v>296</v>
      </c>
      <c r="B50" t="s">
        <v>297</v>
      </c>
      <c r="C50" t="s">
        <v>298</v>
      </c>
      <c r="D50" t="s">
        <v>299</v>
      </c>
      <c r="E50" t="s">
        <v>300</v>
      </c>
      <c r="F50" t="s">
        <v>20</v>
      </c>
      <c r="H50" s="3" t="s">
        <v>301</v>
      </c>
      <c r="I50" s="3" t="s">
        <v>302</v>
      </c>
      <c r="J50">
        <v>1</v>
      </c>
      <c r="K50">
        <v>3</v>
      </c>
      <c r="L50">
        <f t="shared" si="2"/>
        <v>0</v>
      </c>
      <c r="N50">
        <v>0</v>
      </c>
      <c r="O50">
        <v>0</v>
      </c>
      <c r="P50">
        <f t="shared" si="3"/>
        <v>1</v>
      </c>
      <c r="Q50" t="s">
        <v>303</v>
      </c>
    </row>
    <row r="51" spans="1:17">
      <c r="A51" t="s">
        <v>296</v>
      </c>
      <c r="B51" t="s">
        <v>297</v>
      </c>
      <c r="C51" t="s">
        <v>304</v>
      </c>
      <c r="D51" t="s">
        <v>305</v>
      </c>
      <c r="E51" t="s">
        <v>306</v>
      </c>
      <c r="F51" t="s">
        <v>20</v>
      </c>
      <c r="H51" s="3"/>
      <c r="I51" s="3"/>
      <c r="J51">
        <v>1</v>
      </c>
      <c r="K51">
        <v>0</v>
      </c>
      <c r="L51">
        <f t="shared" si="2"/>
        <v>0</v>
      </c>
      <c r="N51">
        <v>0</v>
      </c>
      <c r="O51">
        <v>0</v>
      </c>
      <c r="P51">
        <f t="shared" si="3"/>
        <v>1</v>
      </c>
      <c r="Q51" t="s">
        <v>307</v>
      </c>
    </row>
    <row r="52" ht="86.4" spans="1:17">
      <c r="A52" t="s">
        <v>308</v>
      </c>
      <c r="B52" t="s">
        <v>309</v>
      </c>
      <c r="C52" t="s">
        <v>310</v>
      </c>
      <c r="D52" t="s">
        <v>311</v>
      </c>
      <c r="E52" t="s">
        <v>312</v>
      </c>
      <c r="F52" t="s">
        <v>34</v>
      </c>
      <c r="G52" t="s">
        <v>313</v>
      </c>
      <c r="H52" s="2" t="s">
        <v>308</v>
      </c>
      <c r="J52">
        <v>0</v>
      </c>
      <c r="K52">
        <v>0</v>
      </c>
      <c r="L52">
        <f t="shared" si="2"/>
        <v>1</v>
      </c>
      <c r="N52">
        <v>0</v>
      </c>
      <c r="O52">
        <v>1</v>
      </c>
      <c r="P52">
        <f t="shared" si="3"/>
        <v>1</v>
      </c>
      <c r="Q52" s="4" t="s">
        <v>314</v>
      </c>
    </row>
    <row r="53" ht="129.6" spans="1:17">
      <c r="A53" t="s">
        <v>315</v>
      </c>
      <c r="B53" t="s">
        <v>316</v>
      </c>
      <c r="C53" t="s">
        <v>204</v>
      </c>
      <c r="D53" t="s">
        <v>287</v>
      </c>
      <c r="E53" t="s">
        <v>288</v>
      </c>
      <c r="F53" t="s">
        <v>34</v>
      </c>
      <c r="G53" t="s">
        <v>48</v>
      </c>
      <c r="H53" s="2" t="s">
        <v>315</v>
      </c>
      <c r="J53">
        <v>1</v>
      </c>
      <c r="K53">
        <v>2</v>
      </c>
      <c r="L53">
        <f t="shared" si="2"/>
        <v>0</v>
      </c>
      <c r="N53">
        <v>0</v>
      </c>
      <c r="O53">
        <v>1</v>
      </c>
      <c r="P53">
        <f t="shared" si="3"/>
        <v>1</v>
      </c>
      <c r="Q53" s="4" t="s">
        <v>317</v>
      </c>
    </row>
    <row r="54" spans="1:17">
      <c r="A54" t="s">
        <v>318</v>
      </c>
      <c r="B54" t="s">
        <v>319</v>
      </c>
      <c r="C54" t="s">
        <v>320</v>
      </c>
      <c r="D54" t="s">
        <v>321</v>
      </c>
      <c r="E54" t="s">
        <v>322</v>
      </c>
      <c r="F54" t="s">
        <v>34</v>
      </c>
      <c r="G54" t="s">
        <v>323</v>
      </c>
      <c r="H54" s="2" t="s">
        <v>318</v>
      </c>
      <c r="J54">
        <v>0</v>
      </c>
      <c r="K54">
        <v>0</v>
      </c>
      <c r="L54">
        <f t="shared" si="2"/>
        <v>1</v>
      </c>
      <c r="N54">
        <v>1</v>
      </c>
      <c r="O54">
        <v>0</v>
      </c>
      <c r="P54">
        <f t="shared" si="3"/>
        <v>0</v>
      </c>
      <c r="Q54" t="s">
        <v>324</v>
      </c>
    </row>
    <row r="55" spans="1:17">
      <c r="A55" t="s">
        <v>325</v>
      </c>
      <c r="B55" t="s">
        <v>326</v>
      </c>
      <c r="C55" t="s">
        <v>327</v>
      </c>
      <c r="D55" t="s">
        <v>328</v>
      </c>
      <c r="E55" s="6" t="s">
        <v>329</v>
      </c>
      <c r="F55" t="s">
        <v>34</v>
      </c>
      <c r="G55" t="s">
        <v>48</v>
      </c>
      <c r="H55" s="2" t="s">
        <v>325</v>
      </c>
      <c r="J55" s="4">
        <v>0</v>
      </c>
      <c r="K55">
        <v>0</v>
      </c>
      <c r="L55">
        <f t="shared" si="2"/>
        <v>1</v>
      </c>
      <c r="N55">
        <v>0</v>
      </c>
      <c r="O55">
        <v>0</v>
      </c>
      <c r="P55">
        <f t="shared" si="3"/>
        <v>1</v>
      </c>
      <c r="Q55" t="s">
        <v>330</v>
      </c>
    </row>
    <row r="56" spans="1:17">
      <c r="A56" t="s">
        <v>331</v>
      </c>
      <c r="B56" t="s">
        <v>332</v>
      </c>
      <c r="C56" t="s">
        <v>333</v>
      </c>
      <c r="D56" t="s">
        <v>334</v>
      </c>
      <c r="E56" t="s">
        <v>335</v>
      </c>
      <c r="F56" t="s">
        <v>34</v>
      </c>
      <c r="G56" t="s">
        <v>48</v>
      </c>
      <c r="H56" s="2" t="s">
        <v>331</v>
      </c>
      <c r="J56">
        <v>0</v>
      </c>
      <c r="K56">
        <v>0</v>
      </c>
      <c r="L56">
        <f t="shared" si="2"/>
        <v>1</v>
      </c>
      <c r="N56">
        <v>0</v>
      </c>
      <c r="O56">
        <v>0</v>
      </c>
      <c r="P56">
        <f t="shared" si="3"/>
        <v>1</v>
      </c>
    </row>
    <row r="57" spans="1:17">
      <c r="A57" t="s">
        <v>336</v>
      </c>
      <c r="B57" t="s">
        <v>337</v>
      </c>
      <c r="C57" t="s">
        <v>138</v>
      </c>
      <c r="D57" t="s">
        <v>338</v>
      </c>
      <c r="E57" t="s">
        <v>339</v>
      </c>
      <c r="F57" t="s">
        <v>34</v>
      </c>
      <c r="G57" t="s">
        <v>48</v>
      </c>
      <c r="H57" s="2" t="s">
        <v>336</v>
      </c>
      <c r="J57">
        <v>0</v>
      </c>
      <c r="K57">
        <v>0</v>
      </c>
      <c r="L57">
        <f t="shared" si="2"/>
        <v>1</v>
      </c>
      <c r="N57">
        <v>0</v>
      </c>
      <c r="O57">
        <v>0</v>
      </c>
      <c r="P57">
        <f t="shared" si="3"/>
        <v>1</v>
      </c>
    </row>
    <row r="58" spans="1:17">
      <c r="A58" t="s">
        <v>340</v>
      </c>
      <c r="B58" t="s">
        <v>341</v>
      </c>
      <c r="C58" t="s">
        <v>138</v>
      </c>
      <c r="D58" t="s">
        <v>338</v>
      </c>
      <c r="E58" t="s">
        <v>339</v>
      </c>
      <c r="F58" t="s">
        <v>34</v>
      </c>
      <c r="G58" t="s">
        <v>48</v>
      </c>
      <c r="H58" s="2" t="s">
        <v>340</v>
      </c>
      <c r="J58">
        <v>0</v>
      </c>
      <c r="K58">
        <v>0</v>
      </c>
      <c r="L58">
        <f t="shared" si="2"/>
        <v>1</v>
      </c>
      <c r="N58">
        <v>0</v>
      </c>
      <c r="O58">
        <v>0</v>
      </c>
      <c r="P58">
        <f t="shared" si="3"/>
        <v>1</v>
      </c>
    </row>
    <row r="59" spans="1:17">
      <c r="A59" t="s">
        <v>342</v>
      </c>
      <c r="B59" t="s">
        <v>343</v>
      </c>
      <c r="C59" t="s">
        <v>344</v>
      </c>
      <c r="D59" t="s">
        <v>345</v>
      </c>
      <c r="E59" t="s">
        <v>346</v>
      </c>
      <c r="F59" t="s">
        <v>20</v>
      </c>
      <c r="H59" t="s">
        <v>347</v>
      </c>
      <c r="I59" t="s">
        <v>348</v>
      </c>
      <c r="J59">
        <v>0</v>
      </c>
      <c r="K59">
        <v>0</v>
      </c>
      <c r="L59">
        <f t="shared" si="2"/>
        <v>1</v>
      </c>
      <c r="N59">
        <v>0</v>
      </c>
      <c r="O59">
        <v>0</v>
      </c>
      <c r="P59">
        <f t="shared" si="3"/>
        <v>1</v>
      </c>
    </row>
    <row r="60" ht="72" spans="1:17">
      <c r="A60" t="s">
        <v>349</v>
      </c>
      <c r="B60" t="s">
        <v>350</v>
      </c>
      <c r="C60" t="s">
        <v>351</v>
      </c>
      <c r="D60" t="s">
        <v>352</v>
      </c>
      <c r="E60" t="s">
        <v>353</v>
      </c>
      <c r="F60" t="s">
        <v>20</v>
      </c>
      <c r="H60" t="s">
        <v>354</v>
      </c>
      <c r="I60" t="s">
        <v>355</v>
      </c>
      <c r="J60">
        <v>0</v>
      </c>
      <c r="K60">
        <v>0</v>
      </c>
      <c r="L60">
        <f t="shared" si="2"/>
        <v>1</v>
      </c>
      <c r="N60">
        <v>0</v>
      </c>
      <c r="O60">
        <v>1</v>
      </c>
      <c r="P60">
        <f t="shared" si="3"/>
        <v>1</v>
      </c>
      <c r="Q60" s="4" t="s">
        <v>356</v>
      </c>
    </row>
    <row r="61" spans="1:17">
      <c r="A61" t="s">
        <v>357</v>
      </c>
      <c r="B61" t="s">
        <v>358</v>
      </c>
      <c r="C61" t="s">
        <v>359</v>
      </c>
      <c r="D61" t="s">
        <v>360</v>
      </c>
      <c r="E61" t="s">
        <v>361</v>
      </c>
      <c r="F61" t="s">
        <v>34</v>
      </c>
      <c r="G61" t="s">
        <v>48</v>
      </c>
      <c r="H61" s="2" t="s">
        <v>357</v>
      </c>
      <c r="J61">
        <v>0</v>
      </c>
      <c r="K61">
        <v>0</v>
      </c>
      <c r="L61">
        <f t="shared" si="2"/>
        <v>1</v>
      </c>
      <c r="P61">
        <f t="shared" si="3"/>
        <v>1</v>
      </c>
    </row>
    <row r="62" spans="1:17">
      <c r="A62" t="s">
        <v>362</v>
      </c>
      <c r="B62" t="s">
        <v>363</v>
      </c>
      <c r="C62" t="s">
        <v>364</v>
      </c>
      <c r="D62" t="s">
        <v>365</v>
      </c>
      <c r="E62" t="s">
        <v>366</v>
      </c>
      <c r="F62" t="s">
        <v>20</v>
      </c>
      <c r="H62" t="s">
        <v>367</v>
      </c>
      <c r="I62" t="s">
        <v>348</v>
      </c>
      <c r="J62">
        <v>1</v>
      </c>
      <c r="K62">
        <v>0</v>
      </c>
      <c r="L62">
        <f t="shared" si="2"/>
        <v>0</v>
      </c>
      <c r="N62">
        <v>1</v>
      </c>
      <c r="O62">
        <v>0</v>
      </c>
      <c r="P62">
        <f t="shared" si="3"/>
        <v>0</v>
      </c>
      <c r="Q62" t="s">
        <v>368</v>
      </c>
    </row>
    <row r="63" spans="1:17">
      <c r="A63" t="s">
        <v>369</v>
      </c>
      <c r="B63" t="s">
        <v>370</v>
      </c>
      <c r="C63" t="s">
        <v>371</v>
      </c>
      <c r="D63" t="s">
        <v>372</v>
      </c>
      <c r="E63" t="s">
        <v>373</v>
      </c>
      <c r="F63" t="s">
        <v>34</v>
      </c>
      <c r="G63" t="s">
        <v>48</v>
      </c>
      <c r="H63" s="2" t="s">
        <v>369</v>
      </c>
      <c r="J63" s="4">
        <v>0</v>
      </c>
      <c r="K63">
        <v>0</v>
      </c>
      <c r="L63">
        <f t="shared" si="2"/>
        <v>1</v>
      </c>
      <c r="N63">
        <v>0</v>
      </c>
      <c r="O63">
        <v>0</v>
      </c>
      <c r="P63">
        <f t="shared" si="3"/>
        <v>1</v>
      </c>
      <c r="Q63" t="s">
        <v>374</v>
      </c>
    </row>
    <row r="64" spans="1:17">
      <c r="A64" t="s">
        <v>375</v>
      </c>
      <c r="B64" t="s">
        <v>376</v>
      </c>
      <c r="C64" t="s">
        <v>39</v>
      </c>
      <c r="D64" t="s">
        <v>377</v>
      </c>
      <c r="E64" t="s">
        <v>378</v>
      </c>
      <c r="F64" t="s">
        <v>34</v>
      </c>
      <c r="G64" t="s">
        <v>48</v>
      </c>
      <c r="H64" s="2" t="s">
        <v>375</v>
      </c>
      <c r="J64">
        <v>0</v>
      </c>
      <c r="K64">
        <v>0</v>
      </c>
      <c r="L64">
        <f t="shared" si="2"/>
        <v>1</v>
      </c>
      <c r="N64">
        <v>0</v>
      </c>
      <c r="O64">
        <v>0</v>
      </c>
      <c r="P64">
        <f t="shared" si="3"/>
        <v>1</v>
      </c>
      <c r="Q64" t="s">
        <v>379</v>
      </c>
    </row>
    <row r="65" spans="1:17">
      <c r="A65" t="s">
        <v>380</v>
      </c>
      <c r="B65" t="s">
        <v>381</v>
      </c>
      <c r="C65" t="s">
        <v>382</v>
      </c>
      <c r="D65" t="s">
        <v>383</v>
      </c>
      <c r="E65" t="s">
        <v>384</v>
      </c>
      <c r="F65" t="s">
        <v>34</v>
      </c>
      <c r="G65" t="s">
        <v>48</v>
      </c>
      <c r="H65" s="2" t="s">
        <v>380</v>
      </c>
      <c r="J65">
        <v>0</v>
      </c>
      <c r="K65">
        <v>0</v>
      </c>
      <c r="L65">
        <f t="shared" si="2"/>
        <v>1</v>
      </c>
      <c r="N65">
        <v>0</v>
      </c>
      <c r="O65">
        <v>0</v>
      </c>
      <c r="P65">
        <f t="shared" si="3"/>
        <v>1</v>
      </c>
    </row>
    <row r="66" spans="1:17">
      <c r="A66" t="s">
        <v>385</v>
      </c>
      <c r="B66" t="s">
        <v>386</v>
      </c>
      <c r="C66" t="s">
        <v>204</v>
      </c>
      <c r="D66" t="s">
        <v>387</v>
      </c>
      <c r="E66" t="s">
        <v>388</v>
      </c>
      <c r="F66" t="s">
        <v>34</v>
      </c>
      <c r="G66" t="s">
        <v>389</v>
      </c>
      <c r="H66" s="2" t="s">
        <v>385</v>
      </c>
      <c r="J66">
        <v>1</v>
      </c>
      <c r="K66">
        <v>0</v>
      </c>
      <c r="L66">
        <f t="shared" si="2"/>
        <v>0</v>
      </c>
      <c r="N66">
        <v>0</v>
      </c>
      <c r="O66">
        <v>0</v>
      </c>
      <c r="P66">
        <f t="shared" si="3"/>
        <v>1</v>
      </c>
    </row>
    <row r="67" spans="1:17">
      <c r="A67" t="s">
        <v>390</v>
      </c>
      <c r="C67" t="s">
        <v>204</v>
      </c>
      <c r="D67" t="s">
        <v>391</v>
      </c>
      <c r="E67" s="6" t="s">
        <v>392</v>
      </c>
      <c r="F67" t="s">
        <v>34</v>
      </c>
      <c r="G67" t="s">
        <v>323</v>
      </c>
      <c r="H67" s="2" t="s">
        <v>390</v>
      </c>
      <c r="J67">
        <v>1</v>
      </c>
      <c r="K67">
        <v>0</v>
      </c>
      <c r="L67">
        <f t="shared" si="2"/>
        <v>0</v>
      </c>
      <c r="N67">
        <v>1</v>
      </c>
      <c r="O67">
        <v>0</v>
      </c>
      <c r="P67">
        <f t="shared" si="3"/>
        <v>0</v>
      </c>
      <c r="Q67" t="s">
        <v>393</v>
      </c>
    </row>
    <row r="68" spans="1:17">
      <c r="A68" t="s">
        <v>394</v>
      </c>
      <c r="B68" t="s">
        <v>395</v>
      </c>
      <c r="C68" t="s">
        <v>396</v>
      </c>
      <c r="D68" t="s">
        <v>397</v>
      </c>
      <c r="E68" t="s">
        <v>398</v>
      </c>
      <c r="F68" t="s">
        <v>20</v>
      </c>
      <c r="H68" s="4" t="s">
        <v>399</v>
      </c>
      <c r="I68" t="s">
        <v>400</v>
      </c>
      <c r="J68">
        <v>0</v>
      </c>
      <c r="K68">
        <v>0</v>
      </c>
      <c r="L68">
        <f t="shared" si="2"/>
        <v>1</v>
      </c>
      <c r="N68">
        <v>1</v>
      </c>
      <c r="O68">
        <v>0</v>
      </c>
      <c r="P68">
        <f t="shared" si="3"/>
        <v>0</v>
      </c>
      <c r="Q68" t="s">
        <v>401</v>
      </c>
    </row>
    <row r="69" spans="1:17">
      <c r="A69" t="s">
        <v>402</v>
      </c>
      <c r="B69" t="s">
        <v>403</v>
      </c>
      <c r="C69" t="s">
        <v>404</v>
      </c>
      <c r="D69" t="s">
        <v>405</v>
      </c>
      <c r="E69" t="s">
        <v>406</v>
      </c>
      <c r="F69" t="s">
        <v>20</v>
      </c>
      <c r="H69" t="s">
        <v>407</v>
      </c>
      <c r="I69" t="s">
        <v>408</v>
      </c>
      <c r="J69">
        <v>1</v>
      </c>
      <c r="K69">
        <v>0</v>
      </c>
      <c r="L69">
        <f t="shared" si="2"/>
        <v>0</v>
      </c>
      <c r="N69">
        <v>1</v>
      </c>
      <c r="O69">
        <v>0</v>
      </c>
      <c r="P69">
        <f t="shared" si="3"/>
        <v>0</v>
      </c>
      <c r="Q69" t="s">
        <v>409</v>
      </c>
    </row>
    <row r="70" ht="43.2" spans="1:17">
      <c r="A70" t="s">
        <v>410</v>
      </c>
      <c r="B70" t="s">
        <v>411</v>
      </c>
      <c r="C70" t="s">
        <v>412</v>
      </c>
      <c r="D70" t="s">
        <v>413</v>
      </c>
      <c r="E70" s="5" t="s">
        <v>414</v>
      </c>
      <c r="F70" t="s">
        <v>34</v>
      </c>
      <c r="G70" t="s">
        <v>48</v>
      </c>
      <c r="H70" s="2" t="s">
        <v>410</v>
      </c>
      <c r="J70" s="4">
        <v>0</v>
      </c>
      <c r="K70">
        <v>1</v>
      </c>
      <c r="L70">
        <f t="shared" ref="L70:L101" si="4">1-J70</f>
        <v>1</v>
      </c>
      <c r="M70" t="s">
        <v>67</v>
      </c>
      <c r="N70">
        <v>0</v>
      </c>
      <c r="O70">
        <v>0</v>
      </c>
      <c r="P70">
        <f t="shared" ref="P70:P101" si="5">1-N70</f>
        <v>1</v>
      </c>
      <c r="Q70" s="4" t="s">
        <v>415</v>
      </c>
    </row>
    <row r="71" spans="1:17">
      <c r="A71" t="s">
        <v>416</v>
      </c>
      <c r="B71" t="s">
        <v>417</v>
      </c>
      <c r="C71" t="s">
        <v>418</v>
      </c>
      <c r="D71" t="s">
        <v>419</v>
      </c>
      <c r="E71" s="6" t="s">
        <v>420</v>
      </c>
      <c r="F71" t="s">
        <v>34</v>
      </c>
      <c r="G71" t="s">
        <v>389</v>
      </c>
      <c r="H71" s="2" t="s">
        <v>416</v>
      </c>
      <c r="J71" s="4">
        <v>0</v>
      </c>
      <c r="K71">
        <v>0</v>
      </c>
      <c r="L71">
        <f t="shared" si="4"/>
        <v>1</v>
      </c>
      <c r="N71">
        <v>0</v>
      </c>
      <c r="O71">
        <v>0</v>
      </c>
      <c r="P71">
        <f t="shared" si="5"/>
        <v>1</v>
      </c>
    </row>
    <row r="72" spans="1:17">
      <c r="A72" t="s">
        <v>421</v>
      </c>
      <c r="C72" t="s">
        <v>422</v>
      </c>
      <c r="D72" t="s">
        <v>423</v>
      </c>
      <c r="E72" t="s">
        <v>424</v>
      </c>
      <c r="F72" t="s">
        <v>34</v>
      </c>
      <c r="G72" t="s">
        <v>323</v>
      </c>
      <c r="H72" s="2" t="s">
        <v>421</v>
      </c>
      <c r="J72">
        <v>0</v>
      </c>
      <c r="K72">
        <v>0</v>
      </c>
      <c r="L72">
        <f t="shared" si="4"/>
        <v>1</v>
      </c>
      <c r="N72">
        <v>1</v>
      </c>
      <c r="O72">
        <v>0</v>
      </c>
      <c r="P72">
        <f t="shared" si="5"/>
        <v>0</v>
      </c>
      <c r="Q72" t="s">
        <v>425</v>
      </c>
    </row>
    <row r="73" ht="187.2" spans="1:17">
      <c r="A73" t="s">
        <v>426</v>
      </c>
      <c r="B73" t="s">
        <v>427</v>
      </c>
      <c r="C73" t="s">
        <v>275</v>
      </c>
      <c r="D73" t="s">
        <v>428</v>
      </c>
      <c r="E73" t="s">
        <v>429</v>
      </c>
      <c r="F73" t="s">
        <v>34</v>
      </c>
      <c r="G73" t="s">
        <v>48</v>
      </c>
      <c r="H73" s="2" t="s">
        <v>426</v>
      </c>
      <c r="J73">
        <v>0</v>
      </c>
      <c r="K73">
        <v>0</v>
      </c>
      <c r="L73">
        <f t="shared" si="4"/>
        <v>1</v>
      </c>
      <c r="N73">
        <v>0</v>
      </c>
      <c r="O73">
        <v>0</v>
      </c>
      <c r="P73">
        <f t="shared" si="5"/>
        <v>1</v>
      </c>
      <c r="Q73" s="4" t="s">
        <v>430</v>
      </c>
    </row>
    <row r="74" ht="100.8" spans="1:17">
      <c r="A74" t="s">
        <v>431</v>
      </c>
      <c r="B74" t="s">
        <v>432</v>
      </c>
      <c r="C74" t="s">
        <v>204</v>
      </c>
      <c r="D74" t="s">
        <v>287</v>
      </c>
      <c r="E74" t="s">
        <v>433</v>
      </c>
      <c r="F74" t="s">
        <v>34</v>
      </c>
      <c r="G74" t="s">
        <v>48</v>
      </c>
      <c r="H74" s="2" t="s">
        <v>431</v>
      </c>
      <c r="J74">
        <v>0</v>
      </c>
      <c r="K74">
        <v>0</v>
      </c>
      <c r="L74">
        <f t="shared" si="4"/>
        <v>1</v>
      </c>
      <c r="N74">
        <v>0</v>
      </c>
      <c r="O74">
        <v>1</v>
      </c>
      <c r="P74">
        <f t="shared" si="5"/>
        <v>1</v>
      </c>
      <c r="Q74" s="4" t="s">
        <v>434</v>
      </c>
    </row>
    <row r="75" spans="1:17">
      <c r="A75" t="s">
        <v>435</v>
      </c>
      <c r="B75" t="s">
        <v>436</v>
      </c>
      <c r="C75" t="s">
        <v>437</v>
      </c>
      <c r="D75" t="s">
        <v>438</v>
      </c>
      <c r="E75" t="s">
        <v>439</v>
      </c>
      <c r="F75" t="s">
        <v>20</v>
      </c>
      <c r="H75" t="s">
        <v>440</v>
      </c>
      <c r="I75" t="s">
        <v>408</v>
      </c>
      <c r="J75">
        <v>0</v>
      </c>
      <c r="K75">
        <v>0</v>
      </c>
      <c r="L75">
        <f t="shared" si="4"/>
        <v>1</v>
      </c>
      <c r="N75">
        <v>0</v>
      </c>
      <c r="O75">
        <v>0</v>
      </c>
      <c r="P75">
        <f t="shared" si="5"/>
        <v>1</v>
      </c>
    </row>
    <row r="76" spans="1:17">
      <c r="A76" t="s">
        <v>441</v>
      </c>
      <c r="B76" t="s">
        <v>442</v>
      </c>
      <c r="C76" t="s">
        <v>443</v>
      </c>
      <c r="D76" t="s">
        <v>444</v>
      </c>
      <c r="E76" t="s">
        <v>445</v>
      </c>
      <c r="F76" t="s">
        <v>20</v>
      </c>
      <c r="H76" t="s">
        <v>446</v>
      </c>
      <c r="I76" t="s">
        <v>447</v>
      </c>
      <c r="J76">
        <v>0</v>
      </c>
      <c r="K76">
        <v>0</v>
      </c>
      <c r="L76">
        <f t="shared" si="4"/>
        <v>1</v>
      </c>
      <c r="N76">
        <v>1</v>
      </c>
      <c r="O76">
        <v>0</v>
      </c>
      <c r="P76">
        <f t="shared" si="5"/>
        <v>0</v>
      </c>
      <c r="Q76" t="s">
        <v>448</v>
      </c>
    </row>
    <row r="77" spans="1:17">
      <c r="A77" t="s">
        <v>449</v>
      </c>
      <c r="B77" t="s">
        <v>450</v>
      </c>
      <c r="C77" t="s">
        <v>204</v>
      </c>
      <c r="D77" t="s">
        <v>287</v>
      </c>
      <c r="E77" t="s">
        <v>288</v>
      </c>
      <c r="F77" t="s">
        <v>34</v>
      </c>
      <c r="G77" t="s">
        <v>389</v>
      </c>
      <c r="H77" s="2" t="s">
        <v>449</v>
      </c>
      <c r="J77">
        <v>1</v>
      </c>
      <c r="K77">
        <v>0</v>
      </c>
      <c r="L77">
        <f t="shared" si="4"/>
        <v>0</v>
      </c>
      <c r="N77">
        <v>0</v>
      </c>
      <c r="O77">
        <v>0</v>
      </c>
      <c r="P77">
        <f t="shared" si="5"/>
        <v>1</v>
      </c>
    </row>
    <row r="78" spans="1:17">
      <c r="A78" t="s">
        <v>451</v>
      </c>
      <c r="B78" t="s">
        <v>452</v>
      </c>
      <c r="C78" t="s">
        <v>453</v>
      </c>
      <c r="D78" t="s">
        <v>454</v>
      </c>
      <c r="E78" t="s">
        <v>455</v>
      </c>
      <c r="F78" t="s">
        <v>34</v>
      </c>
      <c r="G78" s="2" t="s">
        <v>456</v>
      </c>
      <c r="H78" s="2" t="s">
        <v>451</v>
      </c>
      <c r="J78">
        <v>0</v>
      </c>
      <c r="K78">
        <v>0</v>
      </c>
      <c r="L78">
        <f t="shared" si="4"/>
        <v>1</v>
      </c>
      <c r="M78" t="s">
        <v>67</v>
      </c>
      <c r="N78">
        <v>0</v>
      </c>
      <c r="O78">
        <v>0</v>
      </c>
      <c r="P78">
        <f t="shared" si="5"/>
        <v>1</v>
      </c>
    </row>
    <row r="79" spans="1:17">
      <c r="A79" t="s">
        <v>451</v>
      </c>
      <c r="B79" t="s">
        <v>452</v>
      </c>
      <c r="C79" t="s">
        <v>457</v>
      </c>
      <c r="D79" t="s">
        <v>454</v>
      </c>
      <c r="E79" t="s">
        <v>455</v>
      </c>
      <c r="F79" t="s">
        <v>34</v>
      </c>
      <c r="G79" s="2"/>
      <c r="J79">
        <v>0</v>
      </c>
      <c r="K79">
        <v>0</v>
      </c>
      <c r="L79">
        <f t="shared" si="4"/>
        <v>1</v>
      </c>
      <c r="N79">
        <v>0</v>
      </c>
      <c r="O79">
        <v>0</v>
      </c>
      <c r="P79">
        <f t="shared" si="5"/>
        <v>1</v>
      </c>
    </row>
    <row r="80" spans="1:17">
      <c r="A80" t="s">
        <v>458</v>
      </c>
      <c r="B80" t="s">
        <v>459</v>
      </c>
      <c r="C80" t="s">
        <v>204</v>
      </c>
      <c r="D80" t="s">
        <v>287</v>
      </c>
      <c r="E80" t="s">
        <v>288</v>
      </c>
      <c r="F80" t="s">
        <v>34</v>
      </c>
      <c r="G80" t="s">
        <v>48</v>
      </c>
      <c r="H80" s="2" t="s">
        <v>458</v>
      </c>
      <c r="J80">
        <v>1</v>
      </c>
      <c r="K80">
        <v>0</v>
      </c>
      <c r="L80">
        <f t="shared" si="4"/>
        <v>0</v>
      </c>
      <c r="N80">
        <v>0</v>
      </c>
      <c r="O80">
        <v>0</v>
      </c>
      <c r="P80">
        <f t="shared" si="5"/>
        <v>1</v>
      </c>
    </row>
    <row r="81" spans="1:17">
      <c r="A81" t="s">
        <v>460</v>
      </c>
      <c r="B81" t="s">
        <v>461</v>
      </c>
      <c r="C81" t="s">
        <v>204</v>
      </c>
      <c r="D81" t="s">
        <v>287</v>
      </c>
      <c r="E81" t="s">
        <v>288</v>
      </c>
      <c r="F81" t="s">
        <v>34</v>
      </c>
      <c r="G81" t="s">
        <v>389</v>
      </c>
      <c r="H81" s="2" t="s">
        <v>460</v>
      </c>
      <c r="J81">
        <v>0</v>
      </c>
      <c r="K81">
        <v>1</v>
      </c>
      <c r="L81">
        <f t="shared" si="4"/>
        <v>1</v>
      </c>
      <c r="N81">
        <v>0</v>
      </c>
      <c r="O81">
        <v>0</v>
      </c>
      <c r="P81">
        <f t="shared" si="5"/>
        <v>1</v>
      </c>
    </row>
    <row r="82" spans="1:17">
      <c r="A82" t="s">
        <v>462</v>
      </c>
      <c r="B82" t="s">
        <v>463</v>
      </c>
      <c r="C82" t="s">
        <v>204</v>
      </c>
      <c r="D82" t="s">
        <v>287</v>
      </c>
      <c r="E82" s="6" t="s">
        <v>464</v>
      </c>
      <c r="F82" t="s">
        <v>34</v>
      </c>
      <c r="G82" t="s">
        <v>389</v>
      </c>
      <c r="H82" s="2" t="s">
        <v>462</v>
      </c>
      <c r="J82">
        <v>1</v>
      </c>
      <c r="K82">
        <v>0</v>
      </c>
      <c r="L82">
        <f t="shared" si="4"/>
        <v>0</v>
      </c>
      <c r="N82">
        <v>0</v>
      </c>
      <c r="O82">
        <v>0</v>
      </c>
      <c r="P82">
        <f t="shared" si="5"/>
        <v>1</v>
      </c>
      <c r="Q82" t="s">
        <v>465</v>
      </c>
    </row>
    <row r="83" spans="1:17">
      <c r="A83" t="s">
        <v>466</v>
      </c>
      <c r="B83" t="s">
        <v>467</v>
      </c>
      <c r="C83" t="s">
        <v>87</v>
      </c>
      <c r="D83" t="s">
        <v>468</v>
      </c>
      <c r="E83" t="s">
        <v>469</v>
      </c>
      <c r="F83" t="s">
        <v>20</v>
      </c>
      <c r="H83" t="s">
        <v>470</v>
      </c>
      <c r="J83">
        <v>1</v>
      </c>
      <c r="K83">
        <v>0</v>
      </c>
      <c r="L83">
        <f t="shared" si="4"/>
        <v>0</v>
      </c>
      <c r="N83">
        <v>0</v>
      </c>
      <c r="O83">
        <v>0</v>
      </c>
      <c r="P83">
        <f t="shared" si="5"/>
        <v>1</v>
      </c>
    </row>
    <row r="84" spans="1:17">
      <c r="A84" t="s">
        <v>471</v>
      </c>
      <c r="B84" t="s">
        <v>472</v>
      </c>
      <c r="C84" t="s">
        <v>138</v>
      </c>
      <c r="D84" t="s">
        <v>473</v>
      </c>
      <c r="E84" t="s">
        <v>474</v>
      </c>
      <c r="F84" t="s">
        <v>20</v>
      </c>
      <c r="H84" t="s">
        <v>475</v>
      </c>
      <c r="I84" t="s">
        <v>476</v>
      </c>
      <c r="J84">
        <v>0</v>
      </c>
      <c r="K84">
        <v>0</v>
      </c>
      <c r="L84">
        <f t="shared" si="4"/>
        <v>1</v>
      </c>
      <c r="N84">
        <v>0</v>
      </c>
      <c r="O84">
        <v>0</v>
      </c>
      <c r="P84">
        <f t="shared" si="5"/>
        <v>1</v>
      </c>
      <c r="Q84" t="s">
        <v>477</v>
      </c>
    </row>
    <row r="85" spans="1:17">
      <c r="A85" t="s">
        <v>478</v>
      </c>
      <c r="B85" t="s">
        <v>479</v>
      </c>
      <c r="C85" t="s">
        <v>480</v>
      </c>
      <c r="D85" t="s">
        <v>481</v>
      </c>
      <c r="E85" t="s">
        <v>482</v>
      </c>
      <c r="F85" t="s">
        <v>34</v>
      </c>
      <c r="G85" t="s">
        <v>48</v>
      </c>
      <c r="H85" s="2" t="s">
        <v>478</v>
      </c>
      <c r="J85">
        <v>1</v>
      </c>
      <c r="K85">
        <v>0</v>
      </c>
      <c r="L85">
        <f t="shared" si="4"/>
        <v>0</v>
      </c>
      <c r="N85">
        <v>0</v>
      </c>
      <c r="O85">
        <v>0</v>
      </c>
      <c r="P85">
        <f t="shared" si="5"/>
        <v>1</v>
      </c>
      <c r="Q85" t="s">
        <v>483</v>
      </c>
    </row>
    <row r="86" ht="43.2" spans="1:17">
      <c r="A86" t="s">
        <v>484</v>
      </c>
      <c r="B86" t="s">
        <v>485</v>
      </c>
      <c r="C86" t="s">
        <v>486</v>
      </c>
      <c r="D86" t="s">
        <v>487</v>
      </c>
      <c r="E86" t="s">
        <v>488</v>
      </c>
      <c r="F86" t="s">
        <v>34</v>
      </c>
      <c r="G86" t="s">
        <v>48</v>
      </c>
      <c r="H86" s="2" t="s">
        <v>484</v>
      </c>
      <c r="J86" s="4">
        <v>0</v>
      </c>
      <c r="K86">
        <v>0</v>
      </c>
      <c r="L86">
        <f t="shared" si="4"/>
        <v>1</v>
      </c>
      <c r="N86">
        <v>0</v>
      </c>
      <c r="O86">
        <v>1</v>
      </c>
      <c r="P86">
        <f t="shared" si="5"/>
        <v>1</v>
      </c>
      <c r="Q86" s="4" t="s">
        <v>489</v>
      </c>
    </row>
    <row r="87" spans="1:17">
      <c r="A87" t="s">
        <v>490</v>
      </c>
      <c r="B87" t="s">
        <v>491</v>
      </c>
      <c r="C87" t="s">
        <v>492</v>
      </c>
      <c r="D87" t="s">
        <v>493</v>
      </c>
      <c r="E87" s="6" t="s">
        <v>494</v>
      </c>
      <c r="F87" t="s">
        <v>34</v>
      </c>
      <c r="H87" t="s">
        <v>490</v>
      </c>
      <c r="J87">
        <v>0</v>
      </c>
      <c r="K87">
        <v>0</v>
      </c>
      <c r="L87">
        <f t="shared" si="4"/>
        <v>1</v>
      </c>
      <c r="M87" t="s">
        <v>67</v>
      </c>
      <c r="N87">
        <v>0</v>
      </c>
      <c r="O87">
        <v>0</v>
      </c>
      <c r="P87">
        <f t="shared" si="5"/>
        <v>1</v>
      </c>
    </row>
    <row r="88" ht="29" customHeight="1" spans="1:17">
      <c r="A88" t="s">
        <v>495</v>
      </c>
      <c r="B88" t="s">
        <v>496</v>
      </c>
      <c r="C88" t="s">
        <v>497</v>
      </c>
      <c r="D88" s="4" t="s">
        <v>498</v>
      </c>
      <c r="E88" t="s">
        <v>322</v>
      </c>
      <c r="F88" t="s">
        <v>34</v>
      </c>
      <c r="G88" t="s">
        <v>323</v>
      </c>
      <c r="H88" s="2" t="s">
        <v>495</v>
      </c>
      <c r="J88" s="4">
        <v>0</v>
      </c>
      <c r="K88">
        <v>1</v>
      </c>
      <c r="L88">
        <f t="shared" si="4"/>
        <v>1</v>
      </c>
      <c r="N88">
        <v>0</v>
      </c>
      <c r="O88">
        <v>0</v>
      </c>
      <c r="P88">
        <f t="shared" si="5"/>
        <v>1</v>
      </c>
    </row>
    <row r="89" spans="1:17">
      <c r="A89" t="s">
        <v>499</v>
      </c>
      <c r="B89" t="s">
        <v>500</v>
      </c>
      <c r="C89" t="s">
        <v>501</v>
      </c>
      <c r="D89" t="s">
        <v>502</v>
      </c>
      <c r="E89" t="s">
        <v>503</v>
      </c>
      <c r="F89" t="s">
        <v>34</v>
      </c>
      <c r="G89" t="s">
        <v>48</v>
      </c>
      <c r="H89" s="2" t="s">
        <v>499</v>
      </c>
      <c r="J89" s="4">
        <v>0</v>
      </c>
      <c r="K89">
        <v>0</v>
      </c>
      <c r="L89">
        <f t="shared" si="4"/>
        <v>1</v>
      </c>
      <c r="N89">
        <v>0</v>
      </c>
      <c r="O89">
        <v>0</v>
      </c>
      <c r="P89">
        <f t="shared" si="5"/>
        <v>1</v>
      </c>
      <c r="Q89" t="s">
        <v>504</v>
      </c>
    </row>
    <row r="90" spans="1:17">
      <c r="A90" t="s">
        <v>505</v>
      </c>
      <c r="B90" t="s">
        <v>506</v>
      </c>
      <c r="C90" t="s">
        <v>507</v>
      </c>
      <c r="D90" t="s">
        <v>508</v>
      </c>
      <c r="E90" t="s">
        <v>509</v>
      </c>
      <c r="F90" t="s">
        <v>34</v>
      </c>
      <c r="G90" t="s">
        <v>48</v>
      </c>
      <c r="H90" s="2" t="s">
        <v>505</v>
      </c>
      <c r="J90">
        <v>0</v>
      </c>
      <c r="K90">
        <v>0</v>
      </c>
      <c r="L90">
        <f t="shared" si="4"/>
        <v>1</v>
      </c>
      <c r="N90">
        <v>0</v>
      </c>
      <c r="O90">
        <v>0</v>
      </c>
      <c r="P90">
        <f t="shared" si="5"/>
        <v>1</v>
      </c>
    </row>
    <row r="91" spans="1:17">
      <c r="A91" t="s">
        <v>510</v>
      </c>
      <c r="B91" t="s">
        <v>511</v>
      </c>
      <c r="C91" t="s">
        <v>512</v>
      </c>
      <c r="D91" t="s">
        <v>513</v>
      </c>
      <c r="E91" t="s">
        <v>514</v>
      </c>
      <c r="F91" t="s">
        <v>34</v>
      </c>
      <c r="G91" s="2" t="s">
        <v>48</v>
      </c>
      <c r="H91" s="2" t="s">
        <v>510</v>
      </c>
      <c r="J91">
        <v>0</v>
      </c>
      <c r="K91">
        <v>0</v>
      </c>
      <c r="L91">
        <f t="shared" si="4"/>
        <v>1</v>
      </c>
      <c r="M91" t="s">
        <v>67</v>
      </c>
      <c r="N91">
        <v>0</v>
      </c>
      <c r="O91">
        <v>0</v>
      </c>
      <c r="P91">
        <f t="shared" si="5"/>
        <v>1</v>
      </c>
    </row>
    <row r="92" spans="1:17">
      <c r="A92" t="s">
        <v>510</v>
      </c>
      <c r="B92" t="s">
        <v>511</v>
      </c>
      <c r="C92" t="s">
        <v>515</v>
      </c>
      <c r="D92" t="s">
        <v>513</v>
      </c>
      <c r="E92" t="s">
        <v>516</v>
      </c>
      <c r="F92" t="s">
        <v>34</v>
      </c>
      <c r="G92" s="2"/>
      <c r="J92" s="4">
        <v>0</v>
      </c>
      <c r="K92">
        <v>0</v>
      </c>
      <c r="L92">
        <f t="shared" si="4"/>
        <v>1</v>
      </c>
      <c r="N92">
        <v>0</v>
      </c>
      <c r="O92">
        <v>0</v>
      </c>
      <c r="P92">
        <f t="shared" si="5"/>
        <v>1</v>
      </c>
    </row>
    <row r="93" spans="1:17">
      <c r="A93" t="s">
        <v>517</v>
      </c>
      <c r="B93" t="s">
        <v>518</v>
      </c>
      <c r="C93" t="s">
        <v>519</v>
      </c>
      <c r="F93" t="s">
        <v>20</v>
      </c>
      <c r="H93" t="s">
        <v>517</v>
      </c>
      <c r="J93" s="4">
        <v>1</v>
      </c>
      <c r="K93">
        <v>0</v>
      </c>
      <c r="L93">
        <f t="shared" si="4"/>
        <v>0</v>
      </c>
      <c r="M93" t="s">
        <v>520</v>
      </c>
      <c r="N93">
        <v>0</v>
      </c>
      <c r="O93">
        <v>0</v>
      </c>
      <c r="P93">
        <f t="shared" si="5"/>
        <v>1</v>
      </c>
      <c r="Q93" t="s">
        <v>521</v>
      </c>
    </row>
    <row r="94" ht="72" spans="1:17">
      <c r="A94" t="s">
        <v>522</v>
      </c>
      <c r="B94" t="s">
        <v>523</v>
      </c>
      <c r="C94" t="s">
        <v>519</v>
      </c>
      <c r="F94" t="s">
        <v>20</v>
      </c>
      <c r="H94" t="s">
        <v>522</v>
      </c>
      <c r="J94">
        <v>1</v>
      </c>
      <c r="K94">
        <v>0</v>
      </c>
      <c r="L94">
        <f t="shared" si="4"/>
        <v>0</v>
      </c>
      <c r="N94">
        <v>0</v>
      </c>
      <c r="O94">
        <v>0</v>
      </c>
      <c r="P94">
        <f t="shared" si="5"/>
        <v>1</v>
      </c>
      <c r="Q94" s="4" t="s">
        <v>524</v>
      </c>
    </row>
    <row r="95" ht="100.8" spans="1:17">
      <c r="A95" t="s">
        <v>525</v>
      </c>
      <c r="B95" t="s">
        <v>526</v>
      </c>
      <c r="C95" t="s">
        <v>527</v>
      </c>
      <c r="F95" t="s">
        <v>20</v>
      </c>
      <c r="H95" t="s">
        <v>525</v>
      </c>
      <c r="J95">
        <v>1</v>
      </c>
      <c r="K95">
        <v>0</v>
      </c>
      <c r="L95">
        <f t="shared" si="4"/>
        <v>0</v>
      </c>
      <c r="N95">
        <v>0</v>
      </c>
      <c r="O95">
        <v>1</v>
      </c>
      <c r="P95">
        <f t="shared" si="5"/>
        <v>1</v>
      </c>
      <c r="Q95" s="4" t="s">
        <v>528</v>
      </c>
    </row>
    <row r="96" ht="100.8" spans="1:17">
      <c r="A96" t="s">
        <v>529</v>
      </c>
      <c r="B96" t="s">
        <v>530</v>
      </c>
      <c r="C96" t="s">
        <v>519</v>
      </c>
      <c r="F96" t="s">
        <v>20</v>
      </c>
      <c r="H96" t="s">
        <v>529</v>
      </c>
      <c r="J96">
        <v>1</v>
      </c>
      <c r="K96">
        <v>0</v>
      </c>
      <c r="L96">
        <f t="shared" si="4"/>
        <v>0</v>
      </c>
      <c r="N96">
        <v>0</v>
      </c>
      <c r="O96">
        <v>1</v>
      </c>
      <c r="P96">
        <f t="shared" si="5"/>
        <v>1</v>
      </c>
      <c r="Q96" s="4" t="s">
        <v>531</v>
      </c>
    </row>
    <row r="97" ht="43.2" spans="1:17">
      <c r="A97" t="s">
        <v>532</v>
      </c>
      <c r="B97" t="s">
        <v>533</v>
      </c>
      <c r="C97" t="s">
        <v>519</v>
      </c>
      <c r="F97" t="s">
        <v>20</v>
      </c>
      <c r="H97" t="s">
        <v>532</v>
      </c>
      <c r="J97" s="4">
        <v>1</v>
      </c>
      <c r="K97">
        <v>0</v>
      </c>
      <c r="L97">
        <f t="shared" si="4"/>
        <v>0</v>
      </c>
      <c r="M97" s="4" t="s">
        <v>534</v>
      </c>
      <c r="N97">
        <v>0</v>
      </c>
      <c r="O97">
        <v>0</v>
      </c>
      <c r="P97">
        <f t="shared" si="5"/>
        <v>1</v>
      </c>
      <c r="Q97" t="s">
        <v>521</v>
      </c>
    </row>
    <row r="98" spans="1:17">
      <c r="A98" t="s">
        <v>535</v>
      </c>
      <c r="B98" t="s">
        <v>523</v>
      </c>
      <c r="C98" t="s">
        <v>519</v>
      </c>
      <c r="F98" t="s">
        <v>20</v>
      </c>
      <c r="H98" t="s">
        <v>535</v>
      </c>
      <c r="J98">
        <v>1</v>
      </c>
      <c r="K98">
        <v>0</v>
      </c>
      <c r="L98">
        <f t="shared" si="4"/>
        <v>0</v>
      </c>
      <c r="N98">
        <v>0</v>
      </c>
      <c r="O98">
        <v>0</v>
      </c>
      <c r="P98">
        <f t="shared" si="5"/>
        <v>1</v>
      </c>
      <c r="Q98" t="s">
        <v>521</v>
      </c>
    </row>
    <row r="99" ht="57.6" spans="1:17">
      <c r="A99" t="s">
        <v>536</v>
      </c>
      <c r="B99" t="s">
        <v>537</v>
      </c>
      <c r="C99" t="s">
        <v>519</v>
      </c>
      <c r="F99" s="4" t="s">
        <v>538</v>
      </c>
      <c r="H99" t="s">
        <v>536</v>
      </c>
      <c r="J99">
        <v>1</v>
      </c>
      <c r="K99">
        <v>0</v>
      </c>
      <c r="L99">
        <f t="shared" si="4"/>
        <v>0</v>
      </c>
      <c r="N99">
        <v>0</v>
      </c>
      <c r="O99">
        <v>0</v>
      </c>
      <c r="P99">
        <f t="shared" si="5"/>
        <v>1</v>
      </c>
      <c r="Q99" t="s">
        <v>539</v>
      </c>
    </row>
    <row r="100" spans="1:17">
      <c r="A100" t="s">
        <v>540</v>
      </c>
      <c r="B100" t="s">
        <v>523</v>
      </c>
      <c r="C100" t="s">
        <v>519</v>
      </c>
      <c r="F100" t="s">
        <v>20</v>
      </c>
      <c r="H100" t="s">
        <v>540</v>
      </c>
      <c r="J100">
        <v>1</v>
      </c>
      <c r="K100">
        <v>0</v>
      </c>
      <c r="L100">
        <f t="shared" si="4"/>
        <v>0</v>
      </c>
      <c r="N100">
        <v>0</v>
      </c>
      <c r="O100">
        <v>0</v>
      </c>
      <c r="P100">
        <f t="shared" si="5"/>
        <v>1</v>
      </c>
      <c r="Q100" t="s">
        <v>521</v>
      </c>
    </row>
    <row r="101" spans="1:17">
      <c r="A101" t="s">
        <v>541</v>
      </c>
      <c r="B101" t="s">
        <v>523</v>
      </c>
      <c r="C101" t="s">
        <v>519</v>
      </c>
      <c r="F101" t="s">
        <v>20</v>
      </c>
      <c r="H101" t="s">
        <v>541</v>
      </c>
      <c r="J101">
        <v>1</v>
      </c>
      <c r="K101">
        <v>0</v>
      </c>
      <c r="L101">
        <f t="shared" si="4"/>
        <v>0</v>
      </c>
      <c r="N101">
        <v>0</v>
      </c>
      <c r="O101">
        <v>0</v>
      </c>
      <c r="P101">
        <f t="shared" si="5"/>
        <v>1</v>
      </c>
      <c r="Q101" t="s">
        <v>521</v>
      </c>
    </row>
    <row r="102" spans="1:17">
      <c r="J102">
        <f t="shared" ref="J102:L102" si="6">SUM(J3:J101)</f>
        <v>36</v>
      </c>
      <c r="K102">
        <f t="shared" si="6"/>
        <v>17</v>
      </c>
      <c r="L102">
        <f t="shared" si="6"/>
        <v>63</v>
      </c>
      <c r="N102">
        <f t="shared" ref="N102:P102" si="7">SUM(N3:N101)</f>
        <v>22</v>
      </c>
      <c r="O102">
        <f t="shared" si="7"/>
        <v>16</v>
      </c>
      <c r="P102">
        <f t="shared" si="7"/>
        <v>77</v>
      </c>
    </row>
  </sheetData>
  <autoFilter xmlns:etc="http://www.wps.cn/officeDocument/2017/etCustomData" ref="A2:N102" etc:filterBottomFollowUsedRange="0">
    <extLst/>
  </autoFilter>
  <sortState ref="A3:N101">
    <sortCondition ref="A1"/>
  </sortState>
  <mergeCells count="10">
    <mergeCell ref="J1:M1"/>
    <mergeCell ref="N1:Q1"/>
    <mergeCell ref="G44:G47"/>
    <mergeCell ref="G78:G79"/>
    <mergeCell ref="G91:G92"/>
    <mergeCell ref="H44:H47"/>
    <mergeCell ref="H50:H51"/>
    <mergeCell ref="H78:H79"/>
    <mergeCell ref="H91:H92"/>
    <mergeCell ref="I50:I51"/>
  </mergeCells>
  <hyperlinks>
    <hyperlink ref="E4" r:id="rId1" display="https://github.com/code-423n4/2022-01-behodler-findings/issues/300"/>
    <hyperlink ref="E6" r:id="rId2" display="https://github.com/code-423n4/2021-12-maple-findings/issues/56"/>
    <hyperlink ref="E39" r:id="rId3" display="https://medium.com/quillhash/decoding-ragnarok-online-invasion-44k-exploit-quillaudits-261b7e23b55"/>
    <hyperlink ref="E41" r:id="rId4" display="https://blog.openzeppelin.com/uma-optimistic-asserter-audit/"/>
    <hyperlink ref="E42" r:id="rId5" display="https://github.com/sherlock-audit/2022-12-notional-judging/blob/main//low/056.md"/>
    <hyperlink ref="E55" r:id="rId6" display="https://github.com/sherlock-audit/2022-11-isomorph-judging/blob/main//002-H/109.md"/>
    <hyperlink ref="E67" r:id="rId7" display="https://github.com/sherlock-audit/2022-09-knox-judging/blob/main//closed/052.md"/>
    <hyperlink ref="E71" r:id="rId8" display="https://github.com/sherlock-audit/2022-10-astaria-judging/blob/main//017-M/153.md"/>
    <hyperlink ref="E13" r:id="rId9" display="https://wooded-meter-1d8.notion.site/0e85e02c5ed34df3855ea9f3ca40f53b?v=22e5e2c506ef4caeb40b4f78e23517ee&amp;p=35b99513c187402a9aaa74e0baa317a2&amp;pm=s"/>
    <hyperlink ref="E32" r:id="rId10" display="https://wooded-meter-1d8.notion.site/0e85e02c5ed34df3855ea9f3ca40f53b?v=22e5e2c506ef4caeb40b4f78e23517ee&amp;p=67a1acabd9fc411ca0ed2bc082313ea1&amp;pm=s"/>
    <hyperlink ref="E87" r:id="rId11" display="https://consensys.net//diligence/audits/2022/11/forta-delegated-staking/"/>
    <hyperlink ref="E10" r:id="rId12" display="https://wooded-meter-1d8.notion.site/0e85e02c5ed34df3855ea9f3ca40f53b?v=22e5e2c506ef4caeb40b4f78e23517ee&amp;p=d4489312830a40819dbfc3ec1fb4246c&amp;pm=s"/>
    <hyperlink ref="E30" r:id="rId13" display="https://wooded-meter-1d8.notion.site/0e85e02c5ed34df3855ea9f3ca40f53b?v=22e5e2c506ef4caeb40b4f78e23517ee&amp;p=a56fb91f2e2b4b869463562322060479&amp;pm=s"/>
    <hyperlink ref="E14" r:id="rId14" display="https://wooded-meter-1d8.notion.site/0e85e02c5ed34df3855ea9f3ca40f53b?v=22e5e2c506ef4caeb40b4f78e23517ee&amp;p=fb6683bd7bdf4205a753677c17148e86&amp;pm=s"/>
    <hyperlink ref="E17" r:id="rId15" display="https://wooded-meter-1d8.notion.site/0e85e02c5ed34df3855ea9f3ca40f53b?v=22e5e2c506ef4caeb40b4f78e23517ee&amp;p=83b39ee94ab54356a4d37463a856266a&amp;pm=s"/>
    <hyperlink ref="E23" r:id="rId16" display="https://wooded-meter-1d8.notion.site/0e85e02c5ed34df3855ea9f3ca40f53b?v=22e5e2c506ef4caeb40b4f78e23517ee&amp;p=a1c5404b7dc945a48bc4896b8b6b0f93&amp;pm=s"/>
    <hyperlink ref="E33" r:id="rId17" display="https://wooded-meter-1d8.notion.site/0e85e02c5ed34df3855ea9f3ca40f53b?v=22e5e2c506ef4caeb40b4f78e23517ee&amp;p=ad14e2665a33499e88b5ff5c2c0b3232&amp;pm=s"/>
    <hyperlink ref="E40" r:id="rId18" display="https://github.com/sherlock-audit/2022-08-sentiment-judging/blob/main//info/246-h.md"/>
    <hyperlink ref="E82" r:id="rId19" display="https://github.com/sherlock-audit/2023-02-blueberry-judging/blob/main//false/268.md"/>
    <hyperlink ref="E48" r:id="rId20" display="https://github.com/sherlock-audit/2023-02-carapace-judging/blob/main//false/243.md"/>
    <hyperlink ref="E27" r:id="rId21" display="https://wooded-meter-1d8.notion.site/0e85e02c5ed34df3855ea9f3ca40f53b?v=22e5e2c506ef4caeb40b4f78e23517ee&amp;p=0fad042e6c1d45439eb78d0560de3cd3&amp;pm=s"/>
    <hyperlink ref="E70" r:id="rId22" display="https://github.com/sherlock-audit/2023-03-teller-judging/blob/main//invalid/059.md"/>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tabSelected="1" workbookViewId="0">
      <selection activeCell="H38" sqref="H38"/>
    </sheetView>
  </sheetViews>
  <sheetFormatPr defaultColWidth="8.88888888888889" defaultRowHeight="14.4" outlineLevelRow="6" outlineLevelCol="4"/>
  <cols>
    <col min="1" max="1" width="12.4444444444444" customWidth="1"/>
    <col min="2" max="5" width="12.8888888888889"/>
  </cols>
  <sheetData>
    <row r="1" customFormat="1" spans="1:5">
      <c r="B1" t="s">
        <v>0</v>
      </c>
      <c r="C1" t="s">
        <v>542</v>
      </c>
      <c r="D1" t="s">
        <v>543</v>
      </c>
    </row>
    <row r="2" spans="1:5">
      <c r="A2" t="s">
        <v>11</v>
      </c>
      <c r="B2">
        <v>36</v>
      </c>
      <c r="C2">
        <v>2</v>
      </c>
      <c r="D2">
        <v>22</v>
      </c>
    </row>
    <row r="3" spans="1:5">
      <c r="A3" t="s">
        <v>12</v>
      </c>
      <c r="B3">
        <v>17</v>
      </c>
      <c r="C3">
        <v>0</v>
      </c>
      <c r="D3">
        <v>16</v>
      </c>
    </row>
    <row r="4" spans="1:5">
      <c r="A4" t="s">
        <v>13</v>
      </c>
      <c r="B4">
        <v>63</v>
      </c>
      <c r="C4">
        <f>99-C2</f>
        <v>97</v>
      </c>
      <c r="D4">
        <v>77</v>
      </c>
    </row>
    <row r="5" spans="1:5">
      <c r="A5" t="s">
        <v>544</v>
      </c>
      <c r="B5" s="1">
        <f>B2/(B2+B3)</f>
        <v>0.679245283018868</v>
      </c>
      <c r="C5" s="1">
        <f>C2/(C2+C3)</f>
        <v>1</v>
      </c>
      <c r="D5" s="1">
        <f>D2/(D2+D3)</f>
        <v>0.578947368421053</v>
      </c>
      <c r="E5">
        <f>B5-D5</f>
        <v>0.100297914597815</v>
      </c>
    </row>
    <row r="6" spans="1:5">
      <c r="A6" t="s">
        <v>545</v>
      </c>
      <c r="B6" s="1">
        <f>B2/(B2+B4)</f>
        <v>0.363636363636364</v>
      </c>
      <c r="C6" s="1">
        <f>C2/(C2+C4)</f>
        <v>0.0202020202020202</v>
      </c>
      <c r="D6" s="1">
        <f>D2/(D2+D4)</f>
        <v>0.222222222222222</v>
      </c>
      <c r="E6">
        <f>B6-D6</f>
        <v>0.141414141414141</v>
      </c>
    </row>
    <row r="7" spans="1:5">
      <c r="A7" t="s">
        <v>546</v>
      </c>
      <c r="B7" s="1">
        <f>2*B5*B6/(B5+B6)</f>
        <v>0.473684210526316</v>
      </c>
      <c r="C7" s="1">
        <f>2*C5*C6/(C5+C6)</f>
        <v>0.0396039603960396</v>
      </c>
      <c r="D7" s="1">
        <f>2*D5*D6/(D5+D6)</f>
        <v>0.321167883211679</v>
      </c>
      <c r="E7">
        <f>B7-D7</f>
        <v>0.152516327314637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ACFix Dataset</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Re睿</cp:lastModifiedBy>
  <dcterms:created xsi:type="dcterms:W3CDTF">2025-09-06T05:18:00Z</dcterms:created>
  <dcterms:modified xsi:type="dcterms:W3CDTF">2025-12-02T10:22:40Z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8C1569CB55734DCA90578D92CC3193AC_13</vt:lpwstr>
  </property>
  <property fmtid="{D5CDD505-2E9C-101B-9397-08002B2CF9AE}" pid="3" name="KSOProductBuildVer">
    <vt:lpwstr>2052-12.1.0.23542</vt:lpwstr>
  </property>
</Properties>
</file>