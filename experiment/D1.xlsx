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855" activeTab="1"/>
  </bookViews>
  <sheets>
    <sheet name="D1-CVE" sheetId="1" r:id="rId1"/>
    <sheet name="Summary" sheetId="2" r:id="rId2"/>
  </sheets>
  <definedNames>
    <definedName name="_xlnm._FilterDatabase" localSheetId="0" hidden="1">'D1-CVE'!$A$1:$C$16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<sst xmlns="http://schemas.openxmlformats.org/spreadsheetml/2006/main" count="58" uniqueCount="29">
  <si>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contract</t>
  </si>
  <si>
    <t>ACTaint</t>
  </si>
  <si>
    <t>GPTLens</t>
  </si>
  <si>
    <t>Suspicious</t>
  </si>
  <si>
    <t>CVE-2018-10666.sol</t>
  </si>
  <si>
    <t>TP</t>
  </si>
  <si>
    <t>FN</t>
  </si>
  <si>
    <t>CVE-2018-10705.sol</t>
  </si>
  <si>
    <t>TP
FP</t>
  </si>
  <si>
    <t>CVE-2018-11329.sol</t>
  </si>
  <si>
    <t>seedMarket.init()</t>
  </si>
  <si>
    <t>CVE-2018-19830.sol</t>
  </si>
  <si>
    <t>CVE-2018-19831.sol</t>
  </si>
  <si>
    <t>CVE-2018-19832.sol</t>
  </si>
  <si>
    <t>FN
FP</t>
  </si>
  <si>
    <t>CVE-2018-19833.sol</t>
  </si>
  <si>
    <t>CVE-2018-19834.sol</t>
  </si>
  <si>
    <t>CVE-2019-15078.sol</t>
  </si>
  <si>
    <t>CVE-2019-15079.sol</t>
  </si>
  <si>
    <t>CVE-2019-15080.sol</t>
  </si>
  <si>
    <t>CVE-2020-17753.sol</t>
  </si>
  <si>
    <t>CVE-2020-35962.sol</t>
  </si>
  <si>
    <t>CVE-2021-34272.sol</t>
  </si>
  <si>
    <t>CVE-2021-34273.sol</t>
  </si>
  <si>
    <t>GPTlens</t>
  </si>
  <si>
    <t>FP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</si>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</sst>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7" sqref="$A17:$XFD21"/>
    </sheetView>
  </sheetViews>
  <sheetFormatPr defaultColWidth="8.88888888888889" defaultRowHeight="14.4" outlineLevelCol="3"/>
  <cols>
    <col min="1" max="1" width="21.1111111111111" style="1" customWidth="1"/>
    <col min="2" max="2" width="19.8888888888889" style="1" customWidth="1"/>
    <col min="3" max="3" width="13.4444444444444" style="1" customWidth="1"/>
    <col min="4" max="4" width="18.8888888888889" style="3" customWidth="1"/>
    <col min="5" max="16384" width="8.88888888888889" style="1"/>
  </cols>
  <sheetData>
    <row r="1" s="1" customFormat="1" spans="1:4">
      <c r="A1" s="1" t="s">
        <v>0</v>
      </c>
      <c r="B1" s="1" t="s">
        <v>1</v>
      </c>
      <c r="C1" s="1" t="s">
        <v>2</v>
      </c>
      <c r="D1" s="3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3"/>
    </row>
    <row r="3" s="1" customFormat="1" ht="28.8" spans="1:4">
      <c r="A3" s="1" t="s">
        <v>7</v>
      </c>
      <c r="B3" s="4" t="s">
        <v>8</v>
      </c>
      <c r="C3" s="1" t="s">
        <v>5</v>
      </c>
      <c r="D3" s="3"/>
    </row>
    <row r="4" s="1" customFormat="1" spans="1:4">
      <c r="A4" s="1" t="s">
        <v>9</v>
      </c>
      <c r="B4" s="4" t="s">
        <v>5</v>
      </c>
      <c r="C4" s="1" t="s">
        <v>6</v>
      </c>
      <c r="D4" s="3" t="s">
        <v>10</v>
      </c>
    </row>
    <row r="5" s="1" customFormat="1" spans="1:4">
      <c r="A5" s="1" t="s">
        <v>11</v>
      </c>
      <c r="B5" s="1" t="s">
        <v>5</v>
      </c>
      <c r="C5" s="1" t="s">
        <v>5</v>
      </c>
      <c r="D5" s="3"/>
    </row>
    <row r="6" s="1" customFormat="1" spans="1:4">
      <c r="A6" s="1" t="s">
        <v>12</v>
      </c>
      <c r="B6" s="1" t="s">
        <v>5</v>
      </c>
      <c r="C6" s="1" t="s">
        <v>6</v>
      </c>
      <c r="D6" s="3"/>
    </row>
    <row r="7" s="1" customFormat="1" ht="28.8" spans="1:4">
      <c r="A7" s="1" t="s">
        <v>13</v>
      </c>
      <c r="B7" s="1" t="s">
        <v>5</v>
      </c>
      <c r="C7" s="4" t="s">
        <v>14</v>
      </c>
      <c r="D7" s="3"/>
    </row>
    <row r="8" s="1" customFormat="1" spans="1:4">
      <c r="A8" s="1" t="s">
        <v>15</v>
      </c>
      <c r="B8" s="1" t="s">
        <v>5</v>
      </c>
      <c r="C8" s="1" t="s">
        <v>5</v>
      </c>
      <c r="D8" s="3"/>
    </row>
    <row r="9" s="1" customFormat="1" spans="1:4">
      <c r="A9" s="1" t="s">
        <v>16</v>
      </c>
      <c r="B9" s="1" t="s">
        <v>5</v>
      </c>
      <c r="C9" s="1" t="s">
        <v>5</v>
      </c>
      <c r="D9" s="3"/>
    </row>
    <row r="10" s="1" customFormat="1" spans="1:4">
      <c r="A10" s="1" t="s">
        <v>17</v>
      </c>
      <c r="B10" s="1" t="s">
        <v>5</v>
      </c>
      <c r="C10" s="1" t="s">
        <v>6</v>
      </c>
      <c r="D10" s="3"/>
    </row>
    <row r="11" s="1" customFormat="1" ht="28.8" spans="1:4">
      <c r="A11" s="1" t="s">
        <v>18</v>
      </c>
      <c r="B11" s="1" t="s">
        <v>5</v>
      </c>
      <c r="C11" s="4" t="s">
        <v>14</v>
      </c>
      <c r="D11" s="3"/>
    </row>
    <row r="12" s="1" customFormat="1" spans="1:4">
      <c r="A12" s="1" t="s">
        <v>19</v>
      </c>
      <c r="B12" s="1" t="s">
        <v>5</v>
      </c>
      <c r="C12" s="1" t="s">
        <v>5</v>
      </c>
      <c r="D12" s="3"/>
    </row>
    <row r="13" s="1" customFormat="1" spans="1:4">
      <c r="A13" s="1" t="s">
        <v>20</v>
      </c>
      <c r="B13" s="1" t="s">
        <v>5</v>
      </c>
      <c r="C13" s="1" t="s">
        <v>6</v>
      </c>
      <c r="D13" s="3"/>
    </row>
    <row r="14" s="1" customFormat="1" spans="1:4">
      <c r="A14" s="1" t="s">
        <v>21</v>
      </c>
      <c r="B14" s="1" t="s">
        <v>6</v>
      </c>
      <c r="C14" s="1" t="s">
        <v>6</v>
      </c>
      <c r="D14" s="3"/>
    </row>
    <row r="15" s="1" customFormat="1" spans="1:4">
      <c r="A15" s="1" t="s">
        <v>22</v>
      </c>
      <c r="B15" s="1" t="s">
        <v>5</v>
      </c>
      <c r="C15" s="1" t="s">
        <v>5</v>
      </c>
      <c r="D15" s="3"/>
    </row>
    <row r="16" s="1" customFormat="1" spans="1:4">
      <c r="A16" s="1" t="s">
        <v>23</v>
      </c>
      <c r="B16" s="4" t="s">
        <v>5</v>
      </c>
      <c r="C16" s="1" t="s">
        <v>6</v>
      </c>
      <c r="D16" s="3"/>
    </row>
  </sheetData>
  <autoFilter xmlns:etc="http://www.wps.cn/officeDocument/2017/etCustomData" ref="A1:C1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21" sqref="E21"/>
    </sheetView>
  </sheetViews>
  <sheetFormatPr defaultColWidth="8.88888888888889" defaultRowHeight="14.4" outlineLevelRow="6" outlineLevelCol="2"/>
  <sheetData>
    <row r="1" spans="1:3">
      <c r="B1" t="s">
        <v>1</v>
      </c>
      <c r="C1" t="s">
        <v>24</v>
      </c>
    </row>
    <row r="2" spans="1:3">
      <c r="A2" t="s">
        <v>5</v>
      </c>
      <c r="B2">
        <v>14</v>
      </c>
      <c r="C2">
        <v>6</v>
      </c>
    </row>
    <row r="3" spans="1:3">
      <c r="A3" t="s">
        <v>25</v>
      </c>
      <c r="B3">
        <v>1</v>
      </c>
      <c r="C3">
        <v>2</v>
      </c>
    </row>
    <row r="4" spans="1:3">
      <c r="A4" t="s">
        <v>6</v>
      </c>
      <c r="B4">
        <v>1</v>
      </c>
      <c r="C4">
        <v>9</v>
      </c>
    </row>
    <row r="5" spans="1:3">
      <c r="A5" s="1" t="s">
        <v>26</v>
      </c>
      <c r="B5" s="2">
        <f>B2/(B2+B3)</f>
        <v>0.933333333333333</v>
      </c>
      <c r="C5" s="2">
        <f>C2/(C2+C3)</f>
        <v>0.75</v>
      </c>
    </row>
    <row r="6" spans="1:3">
      <c r="A6" s="1" t="s">
        <v>27</v>
      </c>
      <c r="B6" s="2">
        <f>B2/(B2+B4)</f>
        <v>0.933333333333333</v>
      </c>
      <c r="C6" s="2">
        <f>C2/(C2+C4)</f>
        <v>0.4</v>
      </c>
    </row>
    <row r="7" spans="1:3">
      <c r="A7" s="1" t="s">
        <v>28</v>
      </c>
      <c r="B7" s="2">
        <f>2*B5*B6/(B5+B6)</f>
        <v>0.933333333333333</v>
      </c>
      <c r="C7" s="2">
        <f>2*C5*C6/(C5+C6)</f>
        <v>0.521739130434783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D1-CVE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76405</dc:creator>
  <cp:lastModifiedBy>Re睿</cp:lastModifiedBy>
  <dcterms:created xsi:type="dcterms:W3CDTF">2023-05-12T11:15:00Z</dcterms:created>
  <dcterms:modified xsi:type="dcterms:W3CDTF">2025-12-02T09:08:02Z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78966AF5BB25493CA83892D3E234FF27_12</vt:lpwstr>
  </property>
</Properties>
</file>